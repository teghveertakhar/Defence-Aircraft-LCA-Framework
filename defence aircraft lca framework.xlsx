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2027905_kcl_ac_uk/Documents/Documents/KCL YR3/KCLYear3-INDPRJ/"/>
    </mc:Choice>
  </mc:AlternateContent>
  <xr:revisionPtr revIDLastSave="0" documentId="8_{AD1DCF47-B538-437F-8725-EEB0317D0131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EADME" sheetId="1" r:id="rId1"/>
    <sheet name="Aircraft Input" sheetId="2" r:id="rId2"/>
    <sheet name="Assemblies" sheetId="3" r:id="rId3"/>
    <sheet name="Materials" sheetId="4" r:id="rId4"/>
    <sheet name="Fuel Scenarios" sheetId="5" r:id="rId5"/>
    <sheet name="Data Quality" sheetId="6" r:id="rId6"/>
    <sheet name="OpenLCA Factors" sheetId="7" r:id="rId7"/>
    <sheet name="Calc Materials" sheetId="8" r:id="rId8"/>
    <sheet name="Calc Manufacturing" sheetId="9" r:id="rId9"/>
    <sheet name="Calc Operations" sheetId="10" r:id="rId10"/>
    <sheet name="Calc EOL" sheetId="11" r:id="rId11"/>
    <sheet name="Sensitivity" sheetId="12" r:id="rId12"/>
    <sheet name="Results" sheetId="13" r:id="rId13"/>
    <sheet name="Checks" sheetId="14" r:id="rId14"/>
    <sheet name="Fleet Register" sheetId="15" r:id="rId15"/>
  </sheets>
  <externalReferences>
    <externalReference r:id="rId16"/>
  </externalReferences>
  <definedNames>
    <definedName name="_xlnm._FilterDatabase" localSheetId="2" hidden="1">Assemblies!$A$5:$N$11</definedName>
    <definedName name="_xlnm._FilterDatabase" localSheetId="10" hidden="1">'Calc EOL'!$A$5:$AA$13</definedName>
    <definedName name="_xlnm._FilterDatabase" localSheetId="8" hidden="1">'Calc Manufacturing'!$A$5:$AV$11</definedName>
    <definedName name="_xlnm._FilterDatabase" localSheetId="7" hidden="1">'Calc Materials'!$A$5:$AA$53</definedName>
    <definedName name="_xlnm._FilterDatabase" localSheetId="9" hidden="1">'Calc Operations'!$A$5:$R$9</definedName>
    <definedName name="_xlnm._FilterDatabase" localSheetId="5" hidden="1">'Data Quality'!$A$5:$D$9</definedName>
    <definedName name="_xlnm._FilterDatabase" localSheetId="14" hidden="1">'Fleet Register'!$A$5:$J$6</definedName>
    <definedName name="_xlnm._FilterDatabase" localSheetId="4" hidden="1">'Fuel Scenarios'!$A$5:$U$8</definedName>
    <definedName name="_xlnm._FilterDatabase" localSheetId="3" hidden="1">Materials!$A$5:$H$53</definedName>
    <definedName name="_xlnm._FilterDatabase" localSheetId="6" hidden="1">'OpenLCA Factors'!$A$5:$L$200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5" l="1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H6" i="8"/>
  <c r="D6" i="15"/>
  <c r="C6" i="15"/>
  <c r="B6" i="15"/>
  <c r="A6" i="15"/>
  <c r="C14" i="14"/>
  <c r="B14" i="14"/>
  <c r="C13" i="14"/>
  <c r="B13" i="14"/>
  <c r="B11" i="14"/>
  <c r="C11" i="14" s="1"/>
  <c r="C10" i="14"/>
  <c r="B10" i="14"/>
  <c r="C8" i="14"/>
  <c r="B8" i="14"/>
  <c r="B3" i="13"/>
  <c r="G15" i="11"/>
  <c r="F15" i="11"/>
  <c r="E15" i="11"/>
  <c r="D15" i="11"/>
  <c r="P13" i="11"/>
  <c r="O13" i="11"/>
  <c r="N13" i="11"/>
  <c r="P12" i="11"/>
  <c r="O12" i="11"/>
  <c r="N12" i="11"/>
  <c r="P11" i="11"/>
  <c r="O11" i="11"/>
  <c r="N11" i="11"/>
  <c r="P10" i="11"/>
  <c r="O10" i="11"/>
  <c r="N10" i="11"/>
  <c r="P9" i="11"/>
  <c r="O9" i="11"/>
  <c r="N9" i="11"/>
  <c r="P8" i="11"/>
  <c r="O8" i="11"/>
  <c r="N8" i="11"/>
  <c r="P7" i="11"/>
  <c r="O7" i="11"/>
  <c r="N7" i="11"/>
  <c r="P6" i="11"/>
  <c r="O6" i="11"/>
  <c r="N6" i="11"/>
  <c r="N15" i="11" s="1"/>
  <c r="B11" i="10"/>
  <c r="P9" i="10"/>
  <c r="O9" i="10"/>
  <c r="E9" i="10"/>
  <c r="N9" i="10" s="1"/>
  <c r="D9" i="10"/>
  <c r="C9" i="10"/>
  <c r="B9" i="10"/>
  <c r="P8" i="10"/>
  <c r="O8" i="10"/>
  <c r="C8" i="10"/>
  <c r="B8" i="10"/>
  <c r="P7" i="10"/>
  <c r="O7" i="10"/>
  <c r="E7" i="10"/>
  <c r="N7" i="10" s="1"/>
  <c r="D7" i="10"/>
  <c r="B7" i="10"/>
  <c r="C7" i="10" s="1"/>
  <c r="P6" i="10"/>
  <c r="O6" i="10"/>
  <c r="C6" i="10"/>
  <c r="B16" i="14" s="1"/>
  <c r="C16" i="14" s="1"/>
  <c r="B6" i="10"/>
  <c r="B11" i="9"/>
  <c r="A11" i="9"/>
  <c r="B10" i="9"/>
  <c r="A10" i="9"/>
  <c r="B9" i="9"/>
  <c r="A9" i="9"/>
  <c r="B8" i="9"/>
  <c r="A8" i="9"/>
  <c r="B7" i="9"/>
  <c r="A7" i="9"/>
  <c r="B6" i="9"/>
  <c r="A6" i="9"/>
  <c r="J53" i="8"/>
  <c r="H53" i="8"/>
  <c r="G53" i="8"/>
  <c r="C53" i="8"/>
  <c r="B53" i="8"/>
  <c r="K53" i="8" s="1"/>
  <c r="A53" i="8"/>
  <c r="J52" i="8"/>
  <c r="H52" i="8"/>
  <c r="G52" i="8"/>
  <c r="C52" i="8"/>
  <c r="B52" i="8"/>
  <c r="K52" i="8" s="1"/>
  <c r="R52" i="8" s="1"/>
  <c r="A52" i="8"/>
  <c r="S51" i="8"/>
  <c r="Q51" i="8"/>
  <c r="J51" i="8"/>
  <c r="G51" i="8"/>
  <c r="H51" i="8" s="1"/>
  <c r="C51" i="8"/>
  <c r="B51" i="8"/>
  <c r="K51" i="8" s="1"/>
  <c r="A51" i="8"/>
  <c r="M50" i="8"/>
  <c r="J50" i="8"/>
  <c r="G50" i="8"/>
  <c r="H50" i="8" s="1"/>
  <c r="C50" i="8"/>
  <c r="B50" i="8"/>
  <c r="K50" i="8" s="1"/>
  <c r="A50" i="8"/>
  <c r="P49" i="8"/>
  <c r="O49" i="8"/>
  <c r="J49" i="8"/>
  <c r="G49" i="8"/>
  <c r="H49" i="8" s="1"/>
  <c r="C49" i="8"/>
  <c r="B49" i="8"/>
  <c r="K49" i="8" s="1"/>
  <c r="A49" i="8"/>
  <c r="K48" i="8"/>
  <c r="J48" i="8"/>
  <c r="G48" i="8"/>
  <c r="H48" i="8" s="1"/>
  <c r="C48" i="8"/>
  <c r="B48" i="8"/>
  <c r="A48" i="8"/>
  <c r="J47" i="8"/>
  <c r="G47" i="8"/>
  <c r="H47" i="8" s="1"/>
  <c r="C47" i="8"/>
  <c r="B47" i="8"/>
  <c r="K47" i="8" s="1"/>
  <c r="A47" i="8"/>
  <c r="P46" i="8"/>
  <c r="J46" i="8"/>
  <c r="H46" i="8"/>
  <c r="G46" i="8"/>
  <c r="C46" i="8"/>
  <c r="B46" i="8"/>
  <c r="K46" i="8" s="1"/>
  <c r="Q46" i="8" s="1"/>
  <c r="A46" i="8"/>
  <c r="M45" i="8"/>
  <c r="K45" i="8"/>
  <c r="J45" i="8"/>
  <c r="H45" i="8"/>
  <c r="G45" i="8"/>
  <c r="C45" i="8"/>
  <c r="B45" i="8"/>
  <c r="A45" i="8"/>
  <c r="P44" i="8"/>
  <c r="O44" i="8"/>
  <c r="N44" i="8"/>
  <c r="K44" i="8"/>
  <c r="L44" i="8" s="1"/>
  <c r="J44" i="8"/>
  <c r="G44" i="8"/>
  <c r="H44" i="8" s="1"/>
  <c r="C44" i="8"/>
  <c r="B44" i="8"/>
  <c r="A44" i="8"/>
  <c r="S43" i="8"/>
  <c r="N43" i="8"/>
  <c r="K43" i="8"/>
  <c r="J43" i="8"/>
  <c r="G43" i="8"/>
  <c r="H43" i="8" s="1"/>
  <c r="C43" i="8"/>
  <c r="B43" i="8"/>
  <c r="A43" i="8"/>
  <c r="J42" i="8"/>
  <c r="G42" i="8"/>
  <c r="H42" i="8" s="1"/>
  <c r="C42" i="8"/>
  <c r="B42" i="8"/>
  <c r="K42" i="8" s="1"/>
  <c r="A42" i="8"/>
  <c r="M41" i="8"/>
  <c r="J41" i="8"/>
  <c r="H41" i="8"/>
  <c r="G41" i="8"/>
  <c r="C41" i="8"/>
  <c r="B41" i="8"/>
  <c r="K41" i="8" s="1"/>
  <c r="A41" i="8"/>
  <c r="Q40" i="8"/>
  <c r="P40" i="8"/>
  <c r="M40" i="8"/>
  <c r="K40" i="8"/>
  <c r="O40" i="8" s="1"/>
  <c r="J40" i="8"/>
  <c r="H40" i="8"/>
  <c r="G40" i="8"/>
  <c r="C40" i="8"/>
  <c r="B40" i="8"/>
  <c r="A40" i="8"/>
  <c r="K39" i="8"/>
  <c r="J39" i="8"/>
  <c r="H39" i="8"/>
  <c r="G39" i="8"/>
  <c r="C39" i="8"/>
  <c r="B39" i="8"/>
  <c r="A39" i="8"/>
  <c r="O38" i="8"/>
  <c r="N38" i="8"/>
  <c r="K38" i="8"/>
  <c r="M38" i="8" s="1"/>
  <c r="J38" i="8"/>
  <c r="G38" i="8"/>
  <c r="H38" i="8" s="1"/>
  <c r="C38" i="8"/>
  <c r="B38" i="8"/>
  <c r="A38" i="8"/>
  <c r="J37" i="8"/>
  <c r="H37" i="8"/>
  <c r="G37" i="8"/>
  <c r="C37" i="8"/>
  <c r="B37" i="8"/>
  <c r="K37" i="8" s="1"/>
  <c r="A37" i="8"/>
  <c r="Q36" i="8"/>
  <c r="P36" i="8"/>
  <c r="O36" i="8"/>
  <c r="N36" i="8"/>
  <c r="M36" i="8"/>
  <c r="L36" i="8"/>
  <c r="K36" i="8"/>
  <c r="S36" i="8" s="1"/>
  <c r="J36" i="8"/>
  <c r="G36" i="8"/>
  <c r="H36" i="8" s="1"/>
  <c r="C36" i="8"/>
  <c r="B36" i="8"/>
  <c r="A36" i="8"/>
  <c r="O35" i="8"/>
  <c r="J35" i="8"/>
  <c r="G35" i="8"/>
  <c r="H35" i="8" s="1"/>
  <c r="C35" i="8"/>
  <c r="B35" i="8"/>
  <c r="K35" i="8" s="1"/>
  <c r="L35" i="8" s="1"/>
  <c r="A35" i="8"/>
  <c r="J34" i="8"/>
  <c r="G34" i="8"/>
  <c r="H34" i="8" s="1"/>
  <c r="C34" i="8"/>
  <c r="B34" i="8"/>
  <c r="K34" i="8" s="1"/>
  <c r="A34" i="8"/>
  <c r="M33" i="8"/>
  <c r="J33" i="8"/>
  <c r="H33" i="8"/>
  <c r="G33" i="8"/>
  <c r="C33" i="8"/>
  <c r="B33" i="8"/>
  <c r="K33" i="8" s="1"/>
  <c r="A33" i="8"/>
  <c r="Q32" i="8"/>
  <c r="P32" i="8"/>
  <c r="M32" i="8"/>
  <c r="K32" i="8"/>
  <c r="O32" i="8" s="1"/>
  <c r="J32" i="8"/>
  <c r="H32" i="8"/>
  <c r="G32" i="8"/>
  <c r="C32" i="8"/>
  <c r="B32" i="8"/>
  <c r="A32" i="8"/>
  <c r="K31" i="8"/>
  <c r="J31" i="8"/>
  <c r="H31" i="8"/>
  <c r="G31" i="8"/>
  <c r="C31" i="8"/>
  <c r="B31" i="8"/>
  <c r="A31" i="8"/>
  <c r="S30" i="8"/>
  <c r="O30" i="8"/>
  <c r="N30" i="8"/>
  <c r="K30" i="8"/>
  <c r="J30" i="8"/>
  <c r="G30" i="8"/>
  <c r="H30" i="8" s="1"/>
  <c r="C30" i="8"/>
  <c r="B30" i="8"/>
  <c r="A30" i="8"/>
  <c r="N29" i="8"/>
  <c r="J29" i="8"/>
  <c r="H29" i="8"/>
  <c r="G29" i="8"/>
  <c r="C29" i="8"/>
  <c r="B29" i="8"/>
  <c r="K29" i="8" s="1"/>
  <c r="A29" i="8"/>
  <c r="Q28" i="8"/>
  <c r="P28" i="8"/>
  <c r="O28" i="8"/>
  <c r="N28" i="8"/>
  <c r="M28" i="8"/>
  <c r="L28" i="8"/>
  <c r="K28" i="8"/>
  <c r="S28" i="8" s="1"/>
  <c r="J28" i="8"/>
  <c r="G28" i="8"/>
  <c r="H28" i="8" s="1"/>
  <c r="C28" i="8"/>
  <c r="B28" i="8"/>
  <c r="A28" i="8"/>
  <c r="L27" i="8"/>
  <c r="J27" i="8"/>
  <c r="H27" i="8"/>
  <c r="G27" i="8"/>
  <c r="C27" i="8"/>
  <c r="B27" i="8"/>
  <c r="K27" i="8" s="1"/>
  <c r="O27" i="8" s="1"/>
  <c r="A27" i="8"/>
  <c r="J26" i="8"/>
  <c r="G26" i="8"/>
  <c r="H26" i="8" s="1"/>
  <c r="C26" i="8"/>
  <c r="B26" i="8"/>
  <c r="K26" i="8" s="1"/>
  <c r="A26" i="8"/>
  <c r="J25" i="8"/>
  <c r="H25" i="8"/>
  <c r="G25" i="8"/>
  <c r="C25" i="8"/>
  <c r="B25" i="8"/>
  <c r="K25" i="8" s="1"/>
  <c r="A25" i="8"/>
  <c r="P24" i="8"/>
  <c r="K24" i="8"/>
  <c r="J24" i="8"/>
  <c r="H24" i="8"/>
  <c r="G24" i="8"/>
  <c r="C24" i="8"/>
  <c r="B24" i="8"/>
  <c r="A24" i="8"/>
  <c r="S23" i="8"/>
  <c r="P23" i="8"/>
  <c r="N23" i="8"/>
  <c r="M23" i="8"/>
  <c r="L23" i="8"/>
  <c r="K23" i="8"/>
  <c r="J23" i="8"/>
  <c r="H23" i="8"/>
  <c r="G23" i="8"/>
  <c r="C23" i="8"/>
  <c r="B23" i="8"/>
  <c r="A23" i="8"/>
  <c r="K22" i="8"/>
  <c r="J22" i="8"/>
  <c r="H22" i="8"/>
  <c r="G22" i="8"/>
  <c r="C22" i="8"/>
  <c r="B22" i="8"/>
  <c r="A22" i="8"/>
  <c r="Q21" i="8"/>
  <c r="J21" i="8"/>
  <c r="H21" i="8"/>
  <c r="G21" i="8"/>
  <c r="C21" i="8"/>
  <c r="B21" i="8"/>
  <c r="K21" i="8" s="1"/>
  <c r="A21" i="8"/>
  <c r="Q20" i="8"/>
  <c r="O20" i="8"/>
  <c r="N20" i="8"/>
  <c r="M20" i="8"/>
  <c r="L20" i="8"/>
  <c r="K20" i="8"/>
  <c r="S20" i="8" s="1"/>
  <c r="J20" i="8"/>
  <c r="G20" i="8"/>
  <c r="H20" i="8" s="1"/>
  <c r="C20" i="8"/>
  <c r="B20" i="8"/>
  <c r="A20" i="8"/>
  <c r="P19" i="8"/>
  <c r="L19" i="8"/>
  <c r="J19" i="8"/>
  <c r="G19" i="8"/>
  <c r="H19" i="8" s="1"/>
  <c r="C19" i="8"/>
  <c r="B19" i="8"/>
  <c r="K19" i="8" s="1"/>
  <c r="A19" i="8"/>
  <c r="S18" i="8"/>
  <c r="J18" i="8"/>
  <c r="G18" i="8"/>
  <c r="H18" i="8" s="1"/>
  <c r="C18" i="8"/>
  <c r="B18" i="8"/>
  <c r="K18" i="8" s="1"/>
  <c r="A18" i="8"/>
  <c r="R17" i="8"/>
  <c r="Q17" i="8"/>
  <c r="P17" i="8"/>
  <c r="O17" i="8"/>
  <c r="N17" i="8"/>
  <c r="M17" i="8"/>
  <c r="J17" i="8"/>
  <c r="G17" i="8"/>
  <c r="H17" i="8" s="1"/>
  <c r="C17" i="8"/>
  <c r="B17" i="8"/>
  <c r="K17" i="8" s="1"/>
  <c r="S17" i="8" s="1"/>
  <c r="A17" i="8"/>
  <c r="J16" i="8"/>
  <c r="H16" i="8"/>
  <c r="G16" i="8"/>
  <c r="C16" i="8"/>
  <c r="B16" i="8"/>
  <c r="K16" i="8" s="1"/>
  <c r="A16" i="8"/>
  <c r="K15" i="8"/>
  <c r="J15" i="8"/>
  <c r="H15" i="8"/>
  <c r="G15" i="8"/>
  <c r="C15" i="8"/>
  <c r="B15" i="8"/>
  <c r="A15" i="8"/>
  <c r="P14" i="8"/>
  <c r="O14" i="8"/>
  <c r="N14" i="8"/>
  <c r="M14" i="8"/>
  <c r="L14" i="8"/>
  <c r="K14" i="8"/>
  <c r="S14" i="8" s="1"/>
  <c r="J14" i="8"/>
  <c r="H14" i="8"/>
  <c r="G14" i="8"/>
  <c r="C14" i="8"/>
  <c r="B14" i="8"/>
  <c r="A14" i="8"/>
  <c r="Q13" i="8"/>
  <c r="O13" i="8"/>
  <c r="K13" i="8"/>
  <c r="N13" i="8" s="1"/>
  <c r="J13" i="8"/>
  <c r="G13" i="8"/>
  <c r="H13" i="8" s="1"/>
  <c r="C13" i="8"/>
  <c r="B13" i="8"/>
  <c r="A13" i="8"/>
  <c r="L12" i="8"/>
  <c r="J12" i="8"/>
  <c r="G12" i="8"/>
  <c r="H12" i="8" s="1"/>
  <c r="C12" i="8"/>
  <c r="B12" i="8"/>
  <c r="K12" i="8" s="1"/>
  <c r="A12" i="8"/>
  <c r="J11" i="8"/>
  <c r="G11" i="8"/>
  <c r="H11" i="8" s="1"/>
  <c r="C11" i="8"/>
  <c r="B11" i="8"/>
  <c r="K11" i="8" s="1"/>
  <c r="A11" i="8"/>
  <c r="J10" i="8"/>
  <c r="H10" i="8"/>
  <c r="G10" i="8"/>
  <c r="C10" i="8"/>
  <c r="B10" i="8"/>
  <c r="K10" i="8" s="1"/>
  <c r="A10" i="8"/>
  <c r="M9" i="8"/>
  <c r="K9" i="8"/>
  <c r="R9" i="8" s="1"/>
  <c r="J9" i="8"/>
  <c r="G9" i="8"/>
  <c r="H9" i="8" s="1"/>
  <c r="E9" i="8"/>
  <c r="C9" i="8"/>
  <c r="B9" i="8"/>
  <c r="A9" i="8"/>
  <c r="P8" i="8"/>
  <c r="J8" i="8"/>
  <c r="H8" i="8"/>
  <c r="G8" i="8"/>
  <c r="C8" i="8"/>
  <c r="B8" i="8"/>
  <c r="K8" i="8" s="1"/>
  <c r="A8" i="8"/>
  <c r="S7" i="8"/>
  <c r="K7" i="8"/>
  <c r="J7" i="8"/>
  <c r="G7" i="8"/>
  <c r="H7" i="8" s="1"/>
  <c r="C7" i="8"/>
  <c r="B7" i="8"/>
  <c r="A7" i="8"/>
  <c r="J6" i="8"/>
  <c r="G6" i="8"/>
  <c r="C6" i="8"/>
  <c r="B6" i="8"/>
  <c r="A6" i="8"/>
  <c r="B17" i="5"/>
  <c r="B16" i="5"/>
  <c r="B15" i="5"/>
  <c r="B14" i="5"/>
  <c r="AA11" i="5"/>
  <c r="AR11" i="5" s="1"/>
  <c r="AA10" i="5"/>
  <c r="AA9" i="5"/>
  <c r="AR8" i="5"/>
  <c r="AC8" i="5"/>
  <c r="AA8" i="5"/>
  <c r="T8" i="5"/>
  <c r="AQ11" i="5" s="1"/>
  <c r="S8" i="5"/>
  <c r="AP11" i="5" s="1"/>
  <c r="R8" i="5"/>
  <c r="AO11" i="5" s="1"/>
  <c r="Q8" i="5"/>
  <c r="AN11" i="5" s="1"/>
  <c r="P8" i="5"/>
  <c r="AM11" i="5" s="1"/>
  <c r="O8" i="5"/>
  <c r="AL11" i="5" s="1"/>
  <c r="N8" i="5"/>
  <c r="AK11" i="5" s="1"/>
  <c r="M8" i="5"/>
  <c r="AJ11" i="5" s="1"/>
  <c r="L8" i="5"/>
  <c r="AI11" i="5" s="1"/>
  <c r="AZ11" i="5" s="1"/>
  <c r="K8" i="5"/>
  <c r="AH11" i="5" s="1"/>
  <c r="J8" i="5"/>
  <c r="AG11" i="5" s="1"/>
  <c r="I8" i="5"/>
  <c r="AF11" i="5" s="1"/>
  <c r="H8" i="5"/>
  <c r="AE11" i="5" s="1"/>
  <c r="AV11" i="5" s="1"/>
  <c r="G8" i="5"/>
  <c r="AD11" i="5" s="1"/>
  <c r="AU11" i="5" s="1"/>
  <c r="F8" i="5"/>
  <c r="AC11" i="5" s="1"/>
  <c r="E8" i="5"/>
  <c r="AB11" i="5" s="1"/>
  <c r="AA7" i="5"/>
  <c r="T7" i="5"/>
  <c r="AQ8" i="5" s="1"/>
  <c r="S7" i="5"/>
  <c r="R7" i="5"/>
  <c r="AO8" i="5" s="1"/>
  <c r="Q7" i="5"/>
  <c r="AN9" i="5" s="1"/>
  <c r="P7" i="5"/>
  <c r="AM9" i="5" s="1"/>
  <c r="O7" i="5"/>
  <c r="AL9" i="5" s="1"/>
  <c r="N7" i="5"/>
  <c r="AK9" i="5" s="1"/>
  <c r="M7" i="5"/>
  <c r="AJ9" i="5" s="1"/>
  <c r="L7" i="5"/>
  <c r="AI8" i="5" s="1"/>
  <c r="AZ8" i="5" s="1"/>
  <c r="K7" i="5"/>
  <c r="J7" i="5"/>
  <c r="AG8" i="5" s="1"/>
  <c r="I7" i="5"/>
  <c r="AF9" i="5" s="1"/>
  <c r="H7" i="5"/>
  <c r="AE9" i="5" s="1"/>
  <c r="G7" i="5"/>
  <c r="AD9" i="5" s="1"/>
  <c r="F7" i="5"/>
  <c r="AC9" i="5" s="1"/>
  <c r="E7" i="5"/>
  <c r="AB9" i="5" s="1"/>
  <c r="AL6" i="5"/>
  <c r="AA6" i="5"/>
  <c r="AR6" i="5" s="1"/>
  <c r="BD6" i="5" s="1"/>
  <c r="T6" i="5"/>
  <c r="AQ10" i="5" s="1"/>
  <c r="S6" i="5"/>
  <c r="AP10" i="5" s="1"/>
  <c r="R6" i="5"/>
  <c r="AO6" i="5" s="1"/>
  <c r="Q6" i="5"/>
  <c r="AN6" i="5" s="1"/>
  <c r="P6" i="5"/>
  <c r="AM6" i="5" s="1"/>
  <c r="O6" i="5"/>
  <c r="AL7" i="5" s="1"/>
  <c r="N6" i="5"/>
  <c r="M6" i="5"/>
  <c r="AJ10" i="5" s="1"/>
  <c r="L6" i="5"/>
  <c r="AI10" i="5" s="1"/>
  <c r="K6" i="5"/>
  <c r="AH10" i="5" s="1"/>
  <c r="J6" i="5"/>
  <c r="AG6" i="5" s="1"/>
  <c r="I6" i="5"/>
  <c r="AF6" i="5" s="1"/>
  <c r="H6" i="5"/>
  <c r="AE6" i="5" s="1"/>
  <c r="G6" i="5"/>
  <c r="AD7" i="5" s="1"/>
  <c r="AU7" i="5" s="1"/>
  <c r="F6" i="5"/>
  <c r="E6" i="5"/>
  <c r="AB10" i="5" s="1"/>
  <c r="E53" i="4"/>
  <c r="E53" i="8" s="1"/>
  <c r="E52" i="4"/>
  <c r="E52" i="8" s="1"/>
  <c r="E51" i="4"/>
  <c r="E51" i="8" s="1"/>
  <c r="E50" i="4"/>
  <c r="E50" i="8" s="1"/>
  <c r="E49" i="4"/>
  <c r="E49" i="8" s="1"/>
  <c r="E48" i="4"/>
  <c r="E48" i="8" s="1"/>
  <c r="E47" i="4"/>
  <c r="E46" i="4"/>
  <c r="E46" i="8" s="1"/>
  <c r="E45" i="4"/>
  <c r="E45" i="8" s="1"/>
  <c r="E44" i="4"/>
  <c r="E44" i="8" s="1"/>
  <c r="E43" i="4"/>
  <c r="E43" i="8" s="1"/>
  <c r="E42" i="4"/>
  <c r="E42" i="8" s="1"/>
  <c r="E41" i="4"/>
  <c r="E41" i="8" s="1"/>
  <c r="E40" i="4"/>
  <c r="E40" i="8" s="1"/>
  <c r="E39" i="4"/>
  <c r="E38" i="4"/>
  <c r="E38" i="8" s="1"/>
  <c r="E37" i="4"/>
  <c r="E37" i="8" s="1"/>
  <c r="E36" i="4"/>
  <c r="E36" i="8" s="1"/>
  <c r="E35" i="4"/>
  <c r="E35" i="8" s="1"/>
  <c r="E34" i="4"/>
  <c r="E34" i="8" s="1"/>
  <c r="E33" i="4"/>
  <c r="E33" i="8" s="1"/>
  <c r="E32" i="4"/>
  <c r="E32" i="8" s="1"/>
  <c r="E31" i="4"/>
  <c r="E30" i="4"/>
  <c r="E30" i="8" s="1"/>
  <c r="E29" i="4"/>
  <c r="E29" i="8" s="1"/>
  <c r="E28" i="4"/>
  <c r="E28" i="8" s="1"/>
  <c r="E27" i="4"/>
  <c r="E27" i="8" s="1"/>
  <c r="E26" i="4"/>
  <c r="E26" i="8" s="1"/>
  <c r="E25" i="4"/>
  <c r="E25" i="8" s="1"/>
  <c r="E24" i="4"/>
  <c r="E24" i="8" s="1"/>
  <c r="E23" i="4"/>
  <c r="E22" i="4"/>
  <c r="E22" i="8" s="1"/>
  <c r="E21" i="4"/>
  <c r="E21" i="8" s="1"/>
  <c r="E20" i="4"/>
  <c r="E20" i="8" s="1"/>
  <c r="E19" i="4"/>
  <c r="E19" i="8" s="1"/>
  <c r="E18" i="4"/>
  <c r="E18" i="8" s="1"/>
  <c r="E17" i="4"/>
  <c r="E17" i="8" s="1"/>
  <c r="E16" i="4"/>
  <c r="E16" i="8" s="1"/>
  <c r="E15" i="4"/>
  <c r="E15" i="8" s="1"/>
  <c r="E14" i="4"/>
  <c r="E14" i="8" s="1"/>
  <c r="E13" i="4"/>
  <c r="E13" i="8" s="1"/>
  <c r="E12" i="4"/>
  <c r="E12" i="8" s="1"/>
  <c r="K11" i="4"/>
  <c r="E11" i="4"/>
  <c r="E11" i="8" s="1"/>
  <c r="K10" i="4"/>
  <c r="E10" i="4"/>
  <c r="E10" i="8" s="1"/>
  <c r="K9" i="4"/>
  <c r="E9" i="4"/>
  <c r="K8" i="4"/>
  <c r="E8" i="4"/>
  <c r="E8" i="8" s="1"/>
  <c r="K7" i="4"/>
  <c r="E7" i="4"/>
  <c r="E7" i="8" s="1"/>
  <c r="K6" i="4"/>
  <c r="E6" i="4"/>
  <c r="L6" i="4" s="1"/>
  <c r="E13" i="3"/>
  <c r="F11" i="3"/>
  <c r="F10" i="3"/>
  <c r="F9" i="3"/>
  <c r="F8" i="3"/>
  <c r="D27" i="8" s="1"/>
  <c r="F27" i="8" s="1"/>
  <c r="F7" i="3"/>
  <c r="C7" i="9" s="1"/>
  <c r="F6" i="3"/>
  <c r="D10" i="8" s="1"/>
  <c r="F10" i="8" s="1"/>
  <c r="AG7" i="5" l="1"/>
  <c r="AX7" i="5" s="1"/>
  <c r="AO7" i="5"/>
  <c r="AX6" i="5"/>
  <c r="BJ6" i="5" s="1"/>
  <c r="AP6" i="5"/>
  <c r="AI9" i="5"/>
  <c r="AT11" i="5"/>
  <c r="AQ9" i="5"/>
  <c r="AD8" i="5"/>
  <c r="AW6" i="5"/>
  <c r="BI6" i="5" s="1"/>
  <c r="AF7" i="5"/>
  <c r="AK8" i="5"/>
  <c r="AT8" i="5" s="1"/>
  <c r="AF10" i="5"/>
  <c r="AB6" i="5"/>
  <c r="AL8" i="5"/>
  <c r="AN10" i="5"/>
  <c r="AH6" i="5"/>
  <c r="AN7" i="5"/>
  <c r="AY11" i="5"/>
  <c r="AJ6" i="5"/>
  <c r="AS6" i="5" s="1"/>
  <c r="BE6" i="5" s="1"/>
  <c r="AS11" i="5"/>
  <c r="D20" i="8"/>
  <c r="F20" i="8" s="1"/>
  <c r="F7" i="9" s="1"/>
  <c r="D17" i="8"/>
  <c r="F17" i="8" s="1"/>
  <c r="D19" i="8"/>
  <c r="F19" i="8" s="1"/>
  <c r="X19" i="8" s="1"/>
  <c r="D16" i="8"/>
  <c r="D22" i="8"/>
  <c r="F22" i="8" s="1"/>
  <c r="T22" i="8" s="1"/>
  <c r="D11" i="8"/>
  <c r="F11" i="8" s="1"/>
  <c r="D12" i="8"/>
  <c r="F12" i="8" s="1"/>
  <c r="F6" i="9" s="1"/>
  <c r="D15" i="8"/>
  <c r="F15" i="8" s="1"/>
  <c r="D18" i="8"/>
  <c r="F18" i="8" s="1"/>
  <c r="D8" i="8"/>
  <c r="F8" i="8" s="1"/>
  <c r="D7" i="8"/>
  <c r="F7" i="8" s="1"/>
  <c r="D13" i="8"/>
  <c r="D28" i="8"/>
  <c r="F28" i="8" s="1"/>
  <c r="F8" i="9" s="1"/>
  <c r="D48" i="8"/>
  <c r="F48" i="8" s="1"/>
  <c r="C11" i="9"/>
  <c r="D50" i="8"/>
  <c r="F50" i="8" s="1"/>
  <c r="AH8" i="5"/>
  <c r="AH9" i="5"/>
  <c r="AP8" i="5"/>
  <c r="AP9" i="5"/>
  <c r="O10" i="8"/>
  <c r="N10" i="8"/>
  <c r="M10" i="8"/>
  <c r="L10" i="8"/>
  <c r="S10" i="8"/>
  <c r="Q10" i="8"/>
  <c r="P10" i="8"/>
  <c r="L11" i="8"/>
  <c r="S11" i="8"/>
  <c r="R11" i="8"/>
  <c r="Q11" i="8"/>
  <c r="P11" i="8"/>
  <c r="N11" i="8"/>
  <c r="M11" i="8"/>
  <c r="N16" i="8"/>
  <c r="M16" i="8"/>
  <c r="L16" i="8"/>
  <c r="S16" i="8"/>
  <c r="R16" i="8"/>
  <c r="P16" i="8"/>
  <c r="O16" i="8"/>
  <c r="AV9" i="5"/>
  <c r="BH8" i="5" s="1"/>
  <c r="AU9" i="5"/>
  <c r="BG8" i="5" s="1"/>
  <c r="AT9" i="5"/>
  <c r="BF8" i="5" s="1"/>
  <c r="AS9" i="5"/>
  <c r="BE8" i="5" s="1"/>
  <c r="AZ9" i="5"/>
  <c r="BL8" i="5" s="1"/>
  <c r="AR9" i="5"/>
  <c r="BD8" i="5" s="1"/>
  <c r="AW9" i="5"/>
  <c r="BI8" i="5" s="1"/>
  <c r="Q26" i="8"/>
  <c r="P26" i="8"/>
  <c r="N26" i="8"/>
  <c r="M26" i="8"/>
  <c r="L26" i="8"/>
  <c r="S26" i="8"/>
  <c r="R26" i="8"/>
  <c r="O26" i="8"/>
  <c r="E47" i="8"/>
  <c r="L11" i="4"/>
  <c r="M22" i="8"/>
  <c r="L22" i="8"/>
  <c r="R22" i="8"/>
  <c r="S22" i="8"/>
  <c r="Q22" i="8"/>
  <c r="P22" i="8"/>
  <c r="O22" i="8"/>
  <c r="N22" i="8"/>
  <c r="L25" i="8"/>
  <c r="S25" i="8"/>
  <c r="Q25" i="8"/>
  <c r="P25" i="8"/>
  <c r="O25" i="8"/>
  <c r="R25" i="8"/>
  <c r="M25" i="8"/>
  <c r="Q34" i="8"/>
  <c r="P34" i="8"/>
  <c r="N34" i="8"/>
  <c r="M34" i="8"/>
  <c r="L34" i="8"/>
  <c r="R34" i="8"/>
  <c r="O34" i="8"/>
  <c r="S34" i="8"/>
  <c r="W10" i="8"/>
  <c r="V10" i="8"/>
  <c r="U10" i="8"/>
  <c r="T10" i="8"/>
  <c r="AA10" i="8"/>
  <c r="Y10" i="8"/>
  <c r="I10" i="8"/>
  <c r="X10" i="8"/>
  <c r="P7" i="8"/>
  <c r="O7" i="8"/>
  <c r="N7" i="8"/>
  <c r="M7" i="8"/>
  <c r="L7" i="8"/>
  <c r="R7" i="8"/>
  <c r="Q7" i="8"/>
  <c r="AK10" i="5"/>
  <c r="AK7" i="5"/>
  <c r="AK6" i="5"/>
  <c r="L7" i="9"/>
  <c r="K7" i="9"/>
  <c r="AY9" i="5"/>
  <c r="BK8" i="5" s="1"/>
  <c r="O11" i="8"/>
  <c r="P15" i="8"/>
  <c r="O15" i="8"/>
  <c r="N15" i="8"/>
  <c r="M15" i="8"/>
  <c r="L15" i="8"/>
  <c r="R15" i="8"/>
  <c r="Q15" i="8"/>
  <c r="Q18" i="8"/>
  <c r="P18" i="8"/>
  <c r="N18" i="8"/>
  <c r="M18" i="8"/>
  <c r="L18" i="8"/>
  <c r="R18" i="8"/>
  <c r="O18" i="8"/>
  <c r="U22" i="8"/>
  <c r="E31" i="8"/>
  <c r="L9" i="4"/>
  <c r="I27" i="8"/>
  <c r="W27" i="8"/>
  <c r="T27" i="8"/>
  <c r="R10" i="8"/>
  <c r="S15" i="8"/>
  <c r="Q16" i="8"/>
  <c r="P21" i="8"/>
  <c r="O21" i="8"/>
  <c r="M21" i="8"/>
  <c r="S21" i="8"/>
  <c r="R21" i="8"/>
  <c r="N21" i="8"/>
  <c r="L21" i="8"/>
  <c r="L8" i="4"/>
  <c r="E23" i="8"/>
  <c r="AC10" i="5"/>
  <c r="AC7" i="5"/>
  <c r="AC6" i="5"/>
  <c r="C9" i="9"/>
  <c r="D34" i="8"/>
  <c r="F34" i="8" s="1"/>
  <c r="D35" i="8"/>
  <c r="F35" i="8" s="1"/>
  <c r="D36" i="8"/>
  <c r="F36" i="8" s="1"/>
  <c r="D31" i="8"/>
  <c r="L7" i="4"/>
  <c r="B6" i="14" s="1"/>
  <c r="C6" i="14" s="1"/>
  <c r="AS10" i="5"/>
  <c r="BE9" i="5" s="1"/>
  <c r="G9" i="10" s="1"/>
  <c r="R9" i="10" s="1"/>
  <c r="Z10" i="8"/>
  <c r="F13" i="8"/>
  <c r="G6" i="9" s="1"/>
  <c r="E39" i="8"/>
  <c r="L10" i="4"/>
  <c r="AW10" i="5"/>
  <c r="M8" i="8"/>
  <c r="L8" i="8"/>
  <c r="S8" i="8"/>
  <c r="R8" i="8"/>
  <c r="Q8" i="8"/>
  <c r="O8" i="8"/>
  <c r="N8" i="8"/>
  <c r="Q12" i="8"/>
  <c r="P12" i="8"/>
  <c r="O12" i="8"/>
  <c r="N12" i="8"/>
  <c r="M12" i="8"/>
  <c r="S12" i="8"/>
  <c r="R12" i="8"/>
  <c r="F16" i="8"/>
  <c r="N25" i="8"/>
  <c r="AE7" i="5"/>
  <c r="AM7" i="5"/>
  <c r="AB8" i="5"/>
  <c r="AJ8" i="5"/>
  <c r="AG9" i="5"/>
  <c r="AO9" i="5"/>
  <c r="AD10" i="5"/>
  <c r="AL10" i="5"/>
  <c r="D6" i="8"/>
  <c r="S9" i="8"/>
  <c r="D14" i="8"/>
  <c r="F14" i="8" s="1"/>
  <c r="D23" i="8"/>
  <c r="F23" i="8" s="1"/>
  <c r="D8" i="9" s="1"/>
  <c r="H8" i="9" s="1"/>
  <c r="D24" i="8"/>
  <c r="F24" i="8" s="1"/>
  <c r="O24" i="8"/>
  <c r="N24" i="8"/>
  <c r="L24" i="8"/>
  <c r="R24" i="8"/>
  <c r="D30" i="8"/>
  <c r="F30" i="8" s="1"/>
  <c r="P37" i="8"/>
  <c r="O37" i="8"/>
  <c r="N37" i="8"/>
  <c r="M37" i="8"/>
  <c r="L37" i="8"/>
  <c r="S37" i="8"/>
  <c r="R37" i="8"/>
  <c r="D38" i="8"/>
  <c r="F38" i="8" s="1"/>
  <c r="R39" i="8"/>
  <c r="Q39" i="8"/>
  <c r="P39" i="8"/>
  <c r="O39" i="8"/>
  <c r="N39" i="8"/>
  <c r="M39" i="8"/>
  <c r="L39" i="8"/>
  <c r="R42" i="8"/>
  <c r="P42" i="8"/>
  <c r="S42" i="8"/>
  <c r="Q42" i="8"/>
  <c r="O42" i="8"/>
  <c r="N42" i="8"/>
  <c r="M42" i="8"/>
  <c r="L42" i="8"/>
  <c r="C10" i="9"/>
  <c r="D45" i="8"/>
  <c r="F45" i="8" s="1"/>
  <c r="G10" i="9" s="1"/>
  <c r="D42" i="8"/>
  <c r="F42" i="8" s="1"/>
  <c r="D39" i="8"/>
  <c r="F39" i="8" s="1"/>
  <c r="AI6" i="5"/>
  <c r="AQ6" i="5"/>
  <c r="AY6" i="5"/>
  <c r="BK6" i="5" s="1"/>
  <c r="AE10" i="5"/>
  <c r="AV10" i="5" s="1"/>
  <c r="BH9" i="5" s="1"/>
  <c r="AM10" i="5"/>
  <c r="B7" i="14"/>
  <c r="C7" i="14" s="1"/>
  <c r="E6" i="8"/>
  <c r="D9" i="8"/>
  <c r="F9" i="8" s="1"/>
  <c r="L9" i="8"/>
  <c r="P13" i="8"/>
  <c r="N19" i="8"/>
  <c r="M19" i="8"/>
  <c r="S19" i="8"/>
  <c r="O19" i="8"/>
  <c r="D21" i="8"/>
  <c r="F21" i="8" s="1"/>
  <c r="G7" i="9" s="1"/>
  <c r="M24" i="8"/>
  <c r="D25" i="8"/>
  <c r="F25" i="8" s="1"/>
  <c r="S39" i="8"/>
  <c r="S47" i="8"/>
  <c r="R47" i="8"/>
  <c r="Q47" i="8"/>
  <c r="P47" i="8"/>
  <c r="L47" i="8"/>
  <c r="N47" i="8"/>
  <c r="M47" i="8"/>
  <c r="D29" i="8"/>
  <c r="F29" i="8" s="1"/>
  <c r="G8" i="9" s="1"/>
  <c r="AH7" i="5"/>
  <c r="AP7" i="5"/>
  <c r="AE8" i="5"/>
  <c r="AM8" i="5"/>
  <c r="AG10" i="5"/>
  <c r="AO10" i="5"/>
  <c r="N9" i="8"/>
  <c r="R13" i="8"/>
  <c r="Q19" i="8"/>
  <c r="Q24" i="8"/>
  <c r="P29" i="8"/>
  <c r="O29" i="8"/>
  <c r="M29" i="8"/>
  <c r="L29" i="8"/>
  <c r="S29" i="8"/>
  <c r="Q29" i="8"/>
  <c r="D32" i="8"/>
  <c r="F32" i="8" s="1"/>
  <c r="L33" i="8"/>
  <c r="S33" i="8"/>
  <c r="Q33" i="8"/>
  <c r="P33" i="8"/>
  <c r="O33" i="8"/>
  <c r="N33" i="8"/>
  <c r="D40" i="8"/>
  <c r="F40" i="8" s="1"/>
  <c r="D33" i="8"/>
  <c r="F33" i="8" s="1"/>
  <c r="F13" i="3"/>
  <c r="B5" i="14" s="1"/>
  <c r="C5" i="14" s="1"/>
  <c r="AD6" i="5"/>
  <c r="AU6" i="5" s="1"/>
  <c r="BG6" i="5" s="1"/>
  <c r="AT6" i="5"/>
  <c r="BF6" i="5" s="1"/>
  <c r="AI7" i="5"/>
  <c r="AZ7" i="5" s="1"/>
  <c r="BL7" i="5" s="1"/>
  <c r="AQ7" i="5"/>
  <c r="AF8" i="5"/>
  <c r="AN8" i="5"/>
  <c r="O9" i="8"/>
  <c r="S13" i="8"/>
  <c r="R19" i="8"/>
  <c r="S24" i="8"/>
  <c r="N27" i="8"/>
  <c r="V27" i="8" s="1"/>
  <c r="M27" i="8"/>
  <c r="U27" i="8" s="1"/>
  <c r="S27" i="8"/>
  <c r="AA27" i="8" s="1"/>
  <c r="R27" i="8"/>
  <c r="Z27" i="8" s="1"/>
  <c r="Q27" i="8"/>
  <c r="Y27" i="8" s="1"/>
  <c r="P27" i="8"/>
  <c r="X27" i="8" s="1"/>
  <c r="R29" i="8"/>
  <c r="R31" i="8"/>
  <c r="Q31" i="8"/>
  <c r="O31" i="8"/>
  <c r="N31" i="8"/>
  <c r="M31" i="8"/>
  <c r="R33" i="8"/>
  <c r="B9" i="14"/>
  <c r="C9" i="14" s="1"/>
  <c r="B15" i="14"/>
  <c r="C6" i="9"/>
  <c r="AB7" i="5"/>
  <c r="AS7" i="5" s="1"/>
  <c r="AJ7" i="5"/>
  <c r="AR7" i="5"/>
  <c r="BD7" i="5" s="1"/>
  <c r="AY10" i="5"/>
  <c r="AW11" i="5"/>
  <c r="F9" i="9"/>
  <c r="P9" i="8"/>
  <c r="L13" i="8"/>
  <c r="Q14" i="8"/>
  <c r="L31" i="8"/>
  <c r="N35" i="8"/>
  <c r="M35" i="8"/>
  <c r="S35" i="8"/>
  <c r="R35" i="8"/>
  <c r="Q35" i="8"/>
  <c r="P35" i="8"/>
  <c r="D43" i="8"/>
  <c r="F43" i="8" s="1"/>
  <c r="O47" i="8"/>
  <c r="AV6" i="5"/>
  <c r="BH6" i="5" s="1"/>
  <c r="AX8" i="5"/>
  <c r="AR10" i="5"/>
  <c r="BD9" i="5" s="1"/>
  <c r="AZ10" i="5"/>
  <c r="BL9" i="5" s="1"/>
  <c r="AX11" i="5"/>
  <c r="Q9" i="8"/>
  <c r="M13" i="8"/>
  <c r="R14" i="8"/>
  <c r="L17" i="8"/>
  <c r="R23" i="8"/>
  <c r="Q23" i="8"/>
  <c r="O23" i="8"/>
  <c r="M30" i="8"/>
  <c r="L30" i="8"/>
  <c r="R30" i="8"/>
  <c r="Q30" i="8"/>
  <c r="P30" i="8"/>
  <c r="P31" i="8"/>
  <c r="Q37" i="8"/>
  <c r="D41" i="8"/>
  <c r="F41" i="8" s="1"/>
  <c r="C8" i="9"/>
  <c r="D26" i="8"/>
  <c r="F26" i="8" s="1"/>
  <c r="K6" i="8"/>
  <c r="S31" i="8"/>
  <c r="D37" i="8"/>
  <c r="F37" i="8" s="1"/>
  <c r="G9" i="9" s="1"/>
  <c r="L41" i="8"/>
  <c r="S41" i="8"/>
  <c r="R41" i="8"/>
  <c r="Q41" i="8"/>
  <c r="P41" i="8"/>
  <c r="O41" i="8"/>
  <c r="N41" i="8"/>
  <c r="L53" i="8"/>
  <c r="O53" i="8"/>
  <c r="N53" i="8"/>
  <c r="M53" i="8"/>
  <c r="S53" i="8"/>
  <c r="P53" i="8"/>
  <c r="R53" i="8"/>
  <c r="Q53" i="8"/>
  <c r="P48" i="8"/>
  <c r="O48" i="8"/>
  <c r="N48" i="8"/>
  <c r="M48" i="8"/>
  <c r="L48" i="8"/>
  <c r="Q48" i="8"/>
  <c r="R50" i="8"/>
  <c r="Q50" i="8"/>
  <c r="P50" i="8"/>
  <c r="O50" i="8"/>
  <c r="N50" i="8"/>
  <c r="S50" i="8"/>
  <c r="R32" i="8"/>
  <c r="P38" i="8"/>
  <c r="R40" i="8"/>
  <c r="D46" i="8"/>
  <c r="F46" i="8" s="1"/>
  <c r="R48" i="8"/>
  <c r="S32" i="8"/>
  <c r="Q38" i="8"/>
  <c r="S40" i="8"/>
  <c r="O43" i="8"/>
  <c r="M43" i="8"/>
  <c r="P43" i="8"/>
  <c r="Q45" i="8"/>
  <c r="P45" i="8"/>
  <c r="O45" i="8"/>
  <c r="N45" i="8"/>
  <c r="R45" i="8"/>
  <c r="N46" i="8"/>
  <c r="M46" i="8"/>
  <c r="L46" i="8"/>
  <c r="S46" i="8"/>
  <c r="O46" i="8"/>
  <c r="R46" i="8"/>
  <c r="S48" i="8"/>
  <c r="D51" i="8"/>
  <c r="F51" i="8" s="1"/>
  <c r="Q52" i="8"/>
  <c r="P20" i="8"/>
  <c r="L32" i="8"/>
  <c r="R38" i="8"/>
  <c r="L40" i="8"/>
  <c r="L43" i="8"/>
  <c r="L45" i="8"/>
  <c r="R51" i="8"/>
  <c r="O51" i="8"/>
  <c r="N51" i="8"/>
  <c r="M51" i="8"/>
  <c r="L51" i="8"/>
  <c r="P51" i="8"/>
  <c r="D52" i="8"/>
  <c r="F52" i="8" s="1"/>
  <c r="S38" i="8"/>
  <c r="D44" i="8"/>
  <c r="F44" i="8" s="1"/>
  <c r="F10" i="9" s="1"/>
  <c r="O52" i="8"/>
  <c r="N52" i="8"/>
  <c r="M52" i="8"/>
  <c r="L52" i="8"/>
  <c r="S52" i="8"/>
  <c r="P52" i="8"/>
  <c r="R20" i="8"/>
  <c r="R28" i="8"/>
  <c r="N32" i="8"/>
  <c r="R36" i="8"/>
  <c r="L38" i="8"/>
  <c r="N40" i="8"/>
  <c r="Q43" i="8"/>
  <c r="S45" i="8"/>
  <c r="D49" i="8"/>
  <c r="F49" i="8" s="1"/>
  <c r="R43" i="8"/>
  <c r="D47" i="8"/>
  <c r="F47" i="8" s="1"/>
  <c r="M49" i="8"/>
  <c r="L49" i="8"/>
  <c r="S49" i="8"/>
  <c r="R49" i="8"/>
  <c r="Q49" i="8"/>
  <c r="N49" i="8"/>
  <c r="L50" i="8"/>
  <c r="M44" i="8"/>
  <c r="D53" i="8"/>
  <c r="F53" i="8" s="1"/>
  <c r="F7" i="10"/>
  <c r="F9" i="10"/>
  <c r="O15" i="11"/>
  <c r="Q44" i="8"/>
  <c r="J9" i="10"/>
  <c r="P15" i="11"/>
  <c r="R44" i="8"/>
  <c r="D8" i="10"/>
  <c r="E8" i="10" s="1"/>
  <c r="S44" i="8"/>
  <c r="D6" i="10"/>
  <c r="E6" i="10" s="1"/>
  <c r="AY7" i="5" l="1"/>
  <c r="AW8" i="5"/>
  <c r="AY8" i="5"/>
  <c r="BK7" i="5" s="1"/>
  <c r="M7" i="10" s="1"/>
  <c r="AV7" i="5"/>
  <c r="AT10" i="5"/>
  <c r="BF9" i="5" s="1"/>
  <c r="H9" i="10" s="1"/>
  <c r="BI7" i="5"/>
  <c r="K7" i="10" s="1"/>
  <c r="BK9" i="5"/>
  <c r="M9" i="10" s="1"/>
  <c r="AX9" i="5"/>
  <c r="BJ8" i="5" s="1"/>
  <c r="AU8" i="5"/>
  <c r="BG7" i="5" s="1"/>
  <c r="I7" i="10" s="1"/>
  <c r="AZ6" i="5"/>
  <c r="BL6" i="5" s="1"/>
  <c r="AW7" i="5"/>
  <c r="AT7" i="5"/>
  <c r="BF7" i="5" s="1"/>
  <c r="H7" i="10" s="1"/>
  <c r="Z19" i="8"/>
  <c r="I22" i="8"/>
  <c r="W22" i="8"/>
  <c r="Z22" i="8"/>
  <c r="U19" i="8"/>
  <c r="E7" i="9"/>
  <c r="I7" i="9" s="1"/>
  <c r="E8" i="9"/>
  <c r="I8" i="9" s="1"/>
  <c r="J8" i="9" s="1"/>
  <c r="D10" i="9"/>
  <c r="H10" i="9" s="1"/>
  <c r="AA22" i="8"/>
  <c r="V22" i="8"/>
  <c r="Y19" i="8"/>
  <c r="AA19" i="8"/>
  <c r="Y22" i="8"/>
  <c r="E10" i="9"/>
  <c r="I10" i="9" s="1"/>
  <c r="V19" i="8"/>
  <c r="X22" i="8"/>
  <c r="D7" i="9"/>
  <c r="H7" i="9" s="1"/>
  <c r="B10" i="11"/>
  <c r="B12" i="11"/>
  <c r="H12" i="11" s="1"/>
  <c r="I12" i="11" s="1"/>
  <c r="E6" i="9"/>
  <c r="B8" i="11"/>
  <c r="H8" i="11" s="1"/>
  <c r="I8" i="11" s="1"/>
  <c r="E9" i="9"/>
  <c r="I9" i="9" s="1"/>
  <c r="T19" i="8"/>
  <c r="W19" i="8"/>
  <c r="I19" i="8"/>
  <c r="U49" i="8"/>
  <c r="T49" i="8"/>
  <c r="AA49" i="8"/>
  <c r="Z49" i="8"/>
  <c r="Y49" i="8"/>
  <c r="I49" i="8"/>
  <c r="V49" i="8"/>
  <c r="X49" i="8"/>
  <c r="W49" i="8"/>
  <c r="Z51" i="8"/>
  <c r="X51" i="8"/>
  <c r="W51" i="8"/>
  <c r="V51" i="8"/>
  <c r="U51" i="8"/>
  <c r="T51" i="8"/>
  <c r="Y51" i="8"/>
  <c r="I51" i="8"/>
  <c r="AA51" i="8"/>
  <c r="L8" i="9"/>
  <c r="K8" i="9"/>
  <c r="H10" i="11"/>
  <c r="I10" i="11" s="1"/>
  <c r="W40" i="8"/>
  <c r="V40" i="8"/>
  <c r="U40" i="8"/>
  <c r="T40" i="8"/>
  <c r="AA40" i="8"/>
  <c r="Z40" i="8"/>
  <c r="Y40" i="8"/>
  <c r="I40" i="8"/>
  <c r="X40" i="8"/>
  <c r="L10" i="9"/>
  <c r="K10" i="9"/>
  <c r="U38" i="8"/>
  <c r="T38" i="8"/>
  <c r="AA38" i="8"/>
  <c r="Z38" i="8"/>
  <c r="Y38" i="8"/>
  <c r="I38" i="8"/>
  <c r="X38" i="8"/>
  <c r="W38" i="8"/>
  <c r="V38" i="8"/>
  <c r="U30" i="8"/>
  <c r="T30" i="8"/>
  <c r="Z30" i="8"/>
  <c r="Y30" i="8"/>
  <c r="I30" i="8"/>
  <c r="X30" i="8"/>
  <c r="AA30" i="8"/>
  <c r="W30" i="8"/>
  <c r="V30" i="8"/>
  <c r="X15" i="8"/>
  <c r="W15" i="8"/>
  <c r="V15" i="8"/>
  <c r="U15" i="8"/>
  <c r="T15" i="8"/>
  <c r="Z15" i="8"/>
  <c r="Y15" i="8"/>
  <c r="I15" i="8"/>
  <c r="AA15" i="8"/>
  <c r="AA36" i="8"/>
  <c r="Z36" i="8"/>
  <c r="Y36" i="8"/>
  <c r="I36" i="8"/>
  <c r="X36" i="8"/>
  <c r="W36" i="8"/>
  <c r="V36" i="8"/>
  <c r="U36" i="8"/>
  <c r="T36" i="8"/>
  <c r="V46" i="8"/>
  <c r="U46" i="8"/>
  <c r="T46" i="8"/>
  <c r="AA46" i="8"/>
  <c r="W46" i="8"/>
  <c r="I46" i="8"/>
  <c r="Z46" i="8"/>
  <c r="Y46" i="8"/>
  <c r="X46" i="8"/>
  <c r="L6" i="10"/>
  <c r="C22" i="13" s="1"/>
  <c r="K6" i="10"/>
  <c r="C21" i="13" s="1"/>
  <c r="J6" i="10"/>
  <c r="C20" i="13" s="1"/>
  <c r="F6" i="10"/>
  <c r="N6" i="10"/>
  <c r="C24" i="13" s="1"/>
  <c r="M6" i="10"/>
  <c r="C23" i="13" s="1"/>
  <c r="I6" i="10"/>
  <c r="C19" i="13" s="1"/>
  <c r="H6" i="10"/>
  <c r="C18" i="13" s="1"/>
  <c r="G6" i="10"/>
  <c r="AA47" i="8"/>
  <c r="Z47" i="8"/>
  <c r="Y47" i="8"/>
  <c r="I47" i="8"/>
  <c r="X47" i="8"/>
  <c r="T47" i="8"/>
  <c r="W47" i="8"/>
  <c r="V47" i="8"/>
  <c r="U47" i="8"/>
  <c r="W52" i="8"/>
  <c r="X52" i="8"/>
  <c r="V52" i="8"/>
  <c r="U52" i="8"/>
  <c r="T52" i="8"/>
  <c r="Y52" i="8"/>
  <c r="AA52" i="8"/>
  <c r="Z52" i="8"/>
  <c r="I52" i="8"/>
  <c r="T41" i="8"/>
  <c r="AA41" i="8"/>
  <c r="Z41" i="8"/>
  <c r="Y41" i="8"/>
  <c r="I41" i="8"/>
  <c r="X41" i="8"/>
  <c r="W41" i="8"/>
  <c r="V41" i="8"/>
  <c r="U41" i="8"/>
  <c r="B13" i="11"/>
  <c r="D11" i="9"/>
  <c r="H11" i="9" s="1"/>
  <c r="F6" i="8"/>
  <c r="D6" i="9" s="1"/>
  <c r="V13" i="8"/>
  <c r="U13" i="8"/>
  <c r="T13" i="8"/>
  <c r="AA13" i="8"/>
  <c r="Z13" i="8"/>
  <c r="X13" i="8"/>
  <c r="W13" i="8"/>
  <c r="Y13" i="8"/>
  <c r="I13" i="8"/>
  <c r="V35" i="8"/>
  <c r="U35" i="8"/>
  <c r="T35" i="8"/>
  <c r="AA35" i="8"/>
  <c r="Z35" i="8"/>
  <c r="Y35" i="8"/>
  <c r="I35" i="8"/>
  <c r="X35" i="8"/>
  <c r="W35" i="8"/>
  <c r="AA28" i="8"/>
  <c r="Z28" i="8"/>
  <c r="X28" i="8"/>
  <c r="W28" i="8"/>
  <c r="V28" i="8"/>
  <c r="T28" i="8"/>
  <c r="I28" i="8"/>
  <c r="Y28" i="8"/>
  <c r="U28" i="8"/>
  <c r="Y12" i="8"/>
  <c r="I12" i="8"/>
  <c r="X12" i="8"/>
  <c r="W12" i="8"/>
  <c r="V12" i="8"/>
  <c r="U12" i="8"/>
  <c r="AA12" i="8"/>
  <c r="Z12" i="8"/>
  <c r="T12" i="8"/>
  <c r="T53" i="8"/>
  <c r="X53" i="8"/>
  <c r="W53" i="8"/>
  <c r="V53" i="8"/>
  <c r="U53" i="8"/>
  <c r="Y53" i="8"/>
  <c r="I53" i="8"/>
  <c r="AA53" i="8"/>
  <c r="Z53" i="8"/>
  <c r="J8" i="10"/>
  <c r="I8" i="10"/>
  <c r="H8" i="10"/>
  <c r="F8" i="10"/>
  <c r="N8" i="10"/>
  <c r="M8" i="10"/>
  <c r="L8" i="10"/>
  <c r="K8" i="10"/>
  <c r="G8" i="10"/>
  <c r="H20" i="13"/>
  <c r="G8" i="12"/>
  <c r="Q9" i="10"/>
  <c r="B9" i="11"/>
  <c r="X29" i="8"/>
  <c r="W29" i="8"/>
  <c r="U29" i="8"/>
  <c r="T29" i="8"/>
  <c r="AA29" i="8"/>
  <c r="Z29" i="8"/>
  <c r="Y29" i="8"/>
  <c r="V29" i="8"/>
  <c r="I29" i="8"/>
  <c r="Y34" i="8"/>
  <c r="I34" i="8"/>
  <c r="X34" i="8"/>
  <c r="V34" i="8"/>
  <c r="U34" i="8"/>
  <c r="T34" i="8"/>
  <c r="AA34" i="8"/>
  <c r="Z34" i="8"/>
  <c r="W34" i="8"/>
  <c r="C13" i="9"/>
  <c r="L6" i="9"/>
  <c r="K6" i="9"/>
  <c r="AX10" i="5"/>
  <c r="BJ9" i="5" s="1"/>
  <c r="L9" i="10" s="1"/>
  <c r="T25" i="8"/>
  <c r="AA25" i="8"/>
  <c r="Y25" i="8"/>
  <c r="I25" i="8"/>
  <c r="X25" i="8"/>
  <c r="W25" i="8"/>
  <c r="Z25" i="8"/>
  <c r="V25" i="8"/>
  <c r="U25" i="8"/>
  <c r="AU10" i="5"/>
  <c r="BG9" i="5" s="1"/>
  <c r="I9" i="10" s="1"/>
  <c r="AA17" i="8"/>
  <c r="V17" i="8"/>
  <c r="U17" i="8"/>
  <c r="T17" i="8"/>
  <c r="I17" i="8"/>
  <c r="Z17" i="8"/>
  <c r="X17" i="8"/>
  <c r="W17" i="8"/>
  <c r="Y17" i="8"/>
  <c r="U8" i="8"/>
  <c r="T8" i="8"/>
  <c r="AA8" i="8"/>
  <c r="Z8" i="8"/>
  <c r="Y8" i="8"/>
  <c r="I8" i="8"/>
  <c r="W8" i="8"/>
  <c r="V8" i="8"/>
  <c r="X8" i="8"/>
  <c r="L9" i="9"/>
  <c r="K9" i="9"/>
  <c r="AA20" i="8"/>
  <c r="Z20" i="8"/>
  <c r="X20" i="8"/>
  <c r="Y20" i="8"/>
  <c r="W20" i="8"/>
  <c r="V20" i="8"/>
  <c r="T20" i="8"/>
  <c r="I20" i="8"/>
  <c r="U20" i="8"/>
  <c r="H6" i="15"/>
  <c r="C15" i="14"/>
  <c r="Z9" i="8"/>
  <c r="Y9" i="8"/>
  <c r="I9" i="8"/>
  <c r="X9" i="8"/>
  <c r="W9" i="8"/>
  <c r="V9" i="8"/>
  <c r="T9" i="8"/>
  <c r="AA9" i="8"/>
  <c r="U9" i="8"/>
  <c r="V16" i="8"/>
  <c r="W16" i="8"/>
  <c r="U16" i="8"/>
  <c r="T16" i="8"/>
  <c r="AA16" i="8"/>
  <c r="I16" i="8"/>
  <c r="Y16" i="8"/>
  <c r="X16" i="8"/>
  <c r="Z16" i="8"/>
  <c r="T11" i="8"/>
  <c r="AA11" i="8"/>
  <c r="Z11" i="8"/>
  <c r="Y11" i="8"/>
  <c r="I11" i="8"/>
  <c r="X11" i="8"/>
  <c r="V11" i="8"/>
  <c r="U11" i="8"/>
  <c r="W11" i="8"/>
  <c r="BI9" i="5"/>
  <c r="K9" i="10" s="1"/>
  <c r="X7" i="8"/>
  <c r="W7" i="8"/>
  <c r="V7" i="8"/>
  <c r="U7" i="8"/>
  <c r="T7" i="8"/>
  <c r="Z7" i="8"/>
  <c r="Y7" i="8"/>
  <c r="I7" i="8"/>
  <c r="AA7" i="8"/>
  <c r="F11" i="9"/>
  <c r="F13" i="9" s="1"/>
  <c r="AV8" i="5"/>
  <c r="BH7" i="5" s="1"/>
  <c r="J7" i="10" s="1"/>
  <c r="X21" i="8"/>
  <c r="W21" i="8"/>
  <c r="U21" i="8"/>
  <c r="Y21" i="8"/>
  <c r="V21" i="8"/>
  <c r="T21" i="8"/>
  <c r="I21" i="8"/>
  <c r="AA21" i="8"/>
  <c r="Z21" i="8"/>
  <c r="Z39" i="8"/>
  <c r="Y39" i="8"/>
  <c r="I39" i="8"/>
  <c r="X39" i="8"/>
  <c r="W39" i="8"/>
  <c r="V39" i="8"/>
  <c r="U39" i="8"/>
  <c r="T39" i="8"/>
  <c r="AA39" i="8"/>
  <c r="W24" i="8"/>
  <c r="V24" i="8"/>
  <c r="T24" i="8"/>
  <c r="Z24" i="8"/>
  <c r="Y24" i="8"/>
  <c r="X24" i="8"/>
  <c r="I24" i="8"/>
  <c r="U24" i="8"/>
  <c r="AA24" i="8"/>
  <c r="Z50" i="8"/>
  <c r="Y50" i="8"/>
  <c r="I50" i="8"/>
  <c r="X50" i="8"/>
  <c r="W50" i="8"/>
  <c r="V50" i="8"/>
  <c r="AA50" i="8"/>
  <c r="U50" i="8"/>
  <c r="T50" i="8"/>
  <c r="E11" i="9"/>
  <c r="I11" i="9" s="1"/>
  <c r="G11" i="9"/>
  <c r="G13" i="9" s="1"/>
  <c r="BJ7" i="5"/>
  <c r="L7" i="10" s="1"/>
  <c r="Z42" i="8"/>
  <c r="X42" i="8"/>
  <c r="AA42" i="8"/>
  <c r="U42" i="8"/>
  <c r="I42" i="8"/>
  <c r="T42" i="8"/>
  <c r="Y42" i="8"/>
  <c r="W42" i="8"/>
  <c r="V42" i="8"/>
  <c r="Z23" i="8"/>
  <c r="Y23" i="8"/>
  <c r="I23" i="8"/>
  <c r="W23" i="8"/>
  <c r="U23" i="8"/>
  <c r="AA23" i="8"/>
  <c r="X23" i="8"/>
  <c r="V23" i="8"/>
  <c r="T23" i="8"/>
  <c r="Y18" i="8"/>
  <c r="X18" i="8"/>
  <c r="V18" i="8"/>
  <c r="AA18" i="8"/>
  <c r="Z18" i="8"/>
  <c r="W18" i="8"/>
  <c r="U18" i="8"/>
  <c r="T18" i="8"/>
  <c r="I18" i="8"/>
  <c r="L11" i="9"/>
  <c r="K11" i="9"/>
  <c r="X37" i="8"/>
  <c r="W37" i="8"/>
  <c r="V37" i="8"/>
  <c r="U37" i="8"/>
  <c r="T37" i="8"/>
  <c r="AA37" i="8"/>
  <c r="Z37" i="8"/>
  <c r="Y37" i="8"/>
  <c r="I37" i="8"/>
  <c r="S6" i="8"/>
  <c r="R6" i="8"/>
  <c r="Q6" i="8"/>
  <c r="P6" i="8"/>
  <c r="O6" i="8"/>
  <c r="M6" i="8"/>
  <c r="L6" i="8"/>
  <c r="B12" i="14" s="1"/>
  <c r="C12" i="14" s="1"/>
  <c r="N6" i="8"/>
  <c r="T44" i="8"/>
  <c r="AA44" i="8"/>
  <c r="Z44" i="8"/>
  <c r="Y44" i="8"/>
  <c r="I44" i="8"/>
  <c r="U44" i="8"/>
  <c r="X44" i="8"/>
  <c r="W44" i="8"/>
  <c r="V44" i="8"/>
  <c r="Y26" i="8"/>
  <c r="I26" i="8"/>
  <c r="X26" i="8"/>
  <c r="V26" i="8"/>
  <c r="U26" i="8"/>
  <c r="T26" i="8"/>
  <c r="Z26" i="8"/>
  <c r="W26" i="8"/>
  <c r="AA26" i="8"/>
  <c r="B11" i="11"/>
  <c r="W43" i="8"/>
  <c r="U43" i="8"/>
  <c r="T43" i="8"/>
  <c r="X43" i="8"/>
  <c r="AA43" i="8"/>
  <c r="Z43" i="8"/>
  <c r="Y43" i="8"/>
  <c r="V43" i="8"/>
  <c r="I43" i="8"/>
  <c r="I6" i="9"/>
  <c r="T33" i="8"/>
  <c r="AA33" i="8"/>
  <c r="Y33" i="8"/>
  <c r="I33" i="8"/>
  <c r="X33" i="8"/>
  <c r="W33" i="8"/>
  <c r="Z33" i="8"/>
  <c r="V33" i="8"/>
  <c r="U33" i="8"/>
  <c r="W32" i="8"/>
  <c r="V32" i="8"/>
  <c r="T32" i="8"/>
  <c r="AA32" i="8"/>
  <c r="Z32" i="8"/>
  <c r="U32" i="8"/>
  <c r="Y32" i="8"/>
  <c r="I32" i="8"/>
  <c r="X32" i="8"/>
  <c r="Y45" i="8"/>
  <c r="I45" i="8"/>
  <c r="X45" i="8"/>
  <c r="W45" i="8"/>
  <c r="V45" i="8"/>
  <c r="Z45" i="8"/>
  <c r="T45" i="8"/>
  <c r="AA45" i="8"/>
  <c r="U45" i="8"/>
  <c r="AA14" i="8"/>
  <c r="Z14" i="8"/>
  <c r="Y14" i="8"/>
  <c r="I14" i="8"/>
  <c r="X14" i="8"/>
  <c r="W14" i="8"/>
  <c r="U14" i="8"/>
  <c r="T14" i="8"/>
  <c r="V14" i="8"/>
  <c r="AS8" i="5"/>
  <c r="BE7" i="5" s="1"/>
  <c r="G7" i="10" s="1"/>
  <c r="F31" i="8"/>
  <c r="X48" i="8"/>
  <c r="W48" i="8"/>
  <c r="V48" i="8"/>
  <c r="U48" i="8"/>
  <c r="T48" i="8"/>
  <c r="Y48" i="8"/>
  <c r="I48" i="8"/>
  <c r="AA48" i="8"/>
  <c r="Z48" i="8"/>
  <c r="J10" i="9" l="1"/>
  <c r="O7" i="9"/>
  <c r="U8" i="9"/>
  <c r="J7" i="9"/>
  <c r="E13" i="9"/>
  <c r="M7" i="9"/>
  <c r="C12" i="11"/>
  <c r="I13" i="9"/>
  <c r="M11" i="9"/>
  <c r="R8" i="9"/>
  <c r="R7" i="9"/>
  <c r="M10" i="9"/>
  <c r="S7" i="9"/>
  <c r="M8" i="9"/>
  <c r="C10" i="11"/>
  <c r="T7" i="9"/>
  <c r="J11" i="9"/>
  <c r="U10" i="9"/>
  <c r="C8" i="11"/>
  <c r="K10" i="11"/>
  <c r="J10" i="11"/>
  <c r="L10" i="11"/>
  <c r="L8" i="11"/>
  <c r="K8" i="11"/>
  <c r="J8" i="11"/>
  <c r="H18" i="13"/>
  <c r="G6" i="12"/>
  <c r="Q7" i="10"/>
  <c r="R7" i="10"/>
  <c r="S8" i="9"/>
  <c r="H13" i="11"/>
  <c r="I13" i="11" s="1"/>
  <c r="C13" i="11"/>
  <c r="N10" i="9"/>
  <c r="N8" i="9"/>
  <c r="Q11" i="9"/>
  <c r="P10" i="9"/>
  <c r="O10" i="9"/>
  <c r="Z31" i="8"/>
  <c r="T9" i="9" s="1"/>
  <c r="Y31" i="8"/>
  <c r="S9" i="9" s="1"/>
  <c r="I31" i="8"/>
  <c r="M9" i="9" s="1"/>
  <c r="W31" i="8"/>
  <c r="Q9" i="9" s="1"/>
  <c r="V31" i="8"/>
  <c r="P9" i="9" s="1"/>
  <c r="U31" i="8"/>
  <c r="O9" i="9" s="1"/>
  <c r="AA31" i="8"/>
  <c r="X31" i="8"/>
  <c r="R9" i="9" s="1"/>
  <c r="T31" i="8"/>
  <c r="N9" i="9" s="1"/>
  <c r="D9" i="9"/>
  <c r="H9" i="9" s="1"/>
  <c r="J9" i="9" s="1"/>
  <c r="B7" i="11"/>
  <c r="T11" i="9"/>
  <c r="H11" i="11"/>
  <c r="I11" i="11" s="1"/>
  <c r="C11" i="11"/>
  <c r="N7" i="9"/>
  <c r="P8" i="9"/>
  <c r="H9" i="11"/>
  <c r="I9" i="11" s="1"/>
  <c r="C9" i="11"/>
  <c r="U11" i="9"/>
  <c r="U9" i="9"/>
  <c r="Q10" i="9"/>
  <c r="AS8" i="9"/>
  <c r="U7" i="9"/>
  <c r="K13" i="9"/>
  <c r="N11" i="9"/>
  <c r="R10" i="9"/>
  <c r="P7" i="9"/>
  <c r="T8" i="9"/>
  <c r="Q7" i="9"/>
  <c r="L13" i="9"/>
  <c r="H17" i="13"/>
  <c r="G5" i="12"/>
  <c r="Q6" i="10"/>
  <c r="B6" i="12" s="1"/>
  <c r="C6" i="12"/>
  <c r="B7" i="13"/>
  <c r="C17" i="13"/>
  <c r="R6" i="10"/>
  <c r="D6" i="12" s="1"/>
  <c r="O11" i="9"/>
  <c r="O8" i="9"/>
  <c r="AA6" i="8"/>
  <c r="U6" i="9" s="1"/>
  <c r="Z6" i="8"/>
  <c r="T6" i="9" s="1"/>
  <c r="Y6" i="8"/>
  <c r="S6" i="9" s="1"/>
  <c r="I6" i="8"/>
  <c r="M6" i="9" s="1"/>
  <c r="X6" i="8"/>
  <c r="R6" i="9" s="1"/>
  <c r="W6" i="8"/>
  <c r="Q6" i="9" s="1"/>
  <c r="U6" i="8"/>
  <c r="O6" i="9" s="1"/>
  <c r="T6" i="8"/>
  <c r="N6" i="9" s="1"/>
  <c r="V6" i="8"/>
  <c r="P6" i="9" s="1"/>
  <c r="B6" i="11"/>
  <c r="R11" i="9"/>
  <c r="P11" i="9"/>
  <c r="S10" i="9"/>
  <c r="Q8" i="9"/>
  <c r="L12" i="11"/>
  <c r="K12" i="11"/>
  <c r="J12" i="11"/>
  <c r="H19" i="13"/>
  <c r="G7" i="12"/>
  <c r="R8" i="10"/>
  <c r="Q8" i="10"/>
  <c r="S11" i="9"/>
  <c r="T10" i="9"/>
  <c r="AM11" i="9" l="1"/>
  <c r="AQ10" i="9"/>
  <c r="AR10" i="9"/>
  <c r="AO11" i="9"/>
  <c r="AR11" i="9"/>
  <c r="AP10" i="9"/>
  <c r="AS11" i="9"/>
  <c r="AQ11" i="9"/>
  <c r="AL7" i="9"/>
  <c r="AS7" i="9"/>
  <c r="AR7" i="9"/>
  <c r="AN7" i="9"/>
  <c r="AQ7" i="9"/>
  <c r="AP7" i="9"/>
  <c r="AM7" i="9"/>
  <c r="AO7" i="9"/>
  <c r="AS10" i="9"/>
  <c r="AP11" i="9"/>
  <c r="AP8" i="9"/>
  <c r="AM8" i="9"/>
  <c r="AM10" i="9"/>
  <c r="AN10" i="9"/>
  <c r="AD13" i="9"/>
  <c r="AR8" i="9"/>
  <c r="AF13" i="9"/>
  <c r="M13" i="9"/>
  <c r="L9" i="11"/>
  <c r="K9" i="11"/>
  <c r="J9" i="11"/>
  <c r="J13" i="11"/>
  <c r="L13" i="11"/>
  <c r="K13" i="11"/>
  <c r="L11" i="11"/>
  <c r="K11" i="11"/>
  <c r="J11" i="11"/>
  <c r="H6" i="11"/>
  <c r="C6" i="11"/>
  <c r="B15" i="11"/>
  <c r="Y57" i="8"/>
  <c r="AE13" i="9"/>
  <c r="AO10" i="9"/>
  <c r="M8" i="11"/>
  <c r="W8" i="11" s="1"/>
  <c r="V57" i="8"/>
  <c r="AA57" i="8"/>
  <c r="H5" i="12"/>
  <c r="H8" i="12"/>
  <c r="H6" i="12"/>
  <c r="H7" i="12"/>
  <c r="AH13" i="9"/>
  <c r="D13" i="9"/>
  <c r="H6" i="9"/>
  <c r="T57" i="8"/>
  <c r="I20" i="13"/>
  <c r="I17" i="13"/>
  <c r="I18" i="13"/>
  <c r="I19" i="13"/>
  <c r="AL11" i="9"/>
  <c r="AG13" i="9"/>
  <c r="AL8" i="9"/>
  <c r="AQ8" i="9"/>
  <c r="Z57" i="8"/>
  <c r="U57" i="8"/>
  <c r="AJ13" i="9"/>
  <c r="H7" i="11"/>
  <c r="I7" i="11" s="1"/>
  <c r="C7" i="11"/>
  <c r="C7" i="13"/>
  <c r="M12" i="11"/>
  <c r="X12" i="11" s="1"/>
  <c r="W57" i="8"/>
  <c r="AK13" i="9"/>
  <c r="AO9" i="9"/>
  <c r="AN9" i="9"/>
  <c r="AP9" i="9"/>
  <c r="AM9" i="9"/>
  <c r="AL9" i="9"/>
  <c r="AS9" i="9"/>
  <c r="AR9" i="9"/>
  <c r="AQ9" i="9"/>
  <c r="AL10" i="9"/>
  <c r="M10" i="11"/>
  <c r="X10" i="11" s="1"/>
  <c r="AO8" i="9"/>
  <c r="AN11" i="9"/>
  <c r="X57" i="8"/>
  <c r="AI13" i="9"/>
  <c r="AN8" i="9"/>
  <c r="T10" i="11" l="1"/>
  <c r="AV7" i="9"/>
  <c r="AU7" i="9"/>
  <c r="AT7" i="9"/>
  <c r="T8" i="11"/>
  <c r="H15" i="11"/>
  <c r="V8" i="11"/>
  <c r="W12" i="11"/>
  <c r="S10" i="11"/>
  <c r="Q10" i="11"/>
  <c r="AA10" i="11" s="1"/>
  <c r="R12" i="11"/>
  <c r="T12" i="11"/>
  <c r="R8" i="11"/>
  <c r="L7" i="11"/>
  <c r="K7" i="11"/>
  <c r="J7" i="11"/>
  <c r="R10" i="11"/>
  <c r="S12" i="11"/>
  <c r="U13" i="9"/>
  <c r="S8" i="11"/>
  <c r="I6" i="11"/>
  <c r="AV9" i="9"/>
  <c r="AT9" i="9"/>
  <c r="AU9" i="9"/>
  <c r="U10" i="11"/>
  <c r="AV10" i="9"/>
  <c r="AU10" i="9"/>
  <c r="AT10" i="9"/>
  <c r="P13" i="9"/>
  <c r="X8" i="11"/>
  <c r="R13" i="11"/>
  <c r="S13" i="11"/>
  <c r="M13" i="11"/>
  <c r="Q13" i="11" s="1"/>
  <c r="O13" i="9"/>
  <c r="AV11" i="9"/>
  <c r="AU11" i="9"/>
  <c r="AT11" i="9"/>
  <c r="H13" i="9"/>
  <c r="J6" i="9"/>
  <c r="T13" i="9"/>
  <c r="U12" i="11"/>
  <c r="S13" i="9"/>
  <c r="V10" i="11"/>
  <c r="R13" i="9"/>
  <c r="W10" i="11"/>
  <c r="Q13" i="9"/>
  <c r="V12" i="11"/>
  <c r="AV8" i="9"/>
  <c r="AU8" i="9"/>
  <c r="AT8" i="9"/>
  <c r="N13" i="9"/>
  <c r="U8" i="11"/>
  <c r="Q9" i="11"/>
  <c r="M9" i="11"/>
  <c r="V9" i="11" s="1"/>
  <c r="M11" i="11"/>
  <c r="R11" i="11" s="1"/>
  <c r="Q12" i="11"/>
  <c r="Q8" i="11"/>
  <c r="C15" i="11"/>
  <c r="W13" i="11" l="1"/>
  <c r="Y10" i="11"/>
  <c r="X13" i="11"/>
  <c r="T13" i="11"/>
  <c r="Z10" i="11"/>
  <c r="R9" i="11"/>
  <c r="U13" i="11"/>
  <c r="U9" i="11"/>
  <c r="V13" i="11"/>
  <c r="W11" i="11"/>
  <c r="S11" i="11"/>
  <c r="T11" i="11"/>
  <c r="W9" i="11"/>
  <c r="X9" i="11"/>
  <c r="X11" i="11"/>
  <c r="S9" i="11"/>
  <c r="T9" i="11"/>
  <c r="Y9" i="11"/>
  <c r="AA9" i="11"/>
  <c r="Z9" i="11"/>
  <c r="Z13" i="11"/>
  <c r="Y13" i="11"/>
  <c r="AA13" i="11"/>
  <c r="Z8" i="11"/>
  <c r="Y8" i="11"/>
  <c r="AA8" i="11"/>
  <c r="AA12" i="11"/>
  <c r="Z12" i="11"/>
  <c r="Y12" i="11"/>
  <c r="M7" i="11"/>
  <c r="X7" i="11" s="1"/>
  <c r="T7" i="11"/>
  <c r="Q11" i="11"/>
  <c r="U11" i="11"/>
  <c r="J13" i="9"/>
  <c r="V11" i="11"/>
  <c r="K6" i="11"/>
  <c r="K15" i="11" s="1"/>
  <c r="J6" i="11"/>
  <c r="I15" i="11"/>
  <c r="L6" i="11"/>
  <c r="L15" i="11" s="1"/>
  <c r="S7" i="11" l="1"/>
  <c r="Q7" i="11"/>
  <c r="Y13" i="9"/>
  <c r="AO6" i="9"/>
  <c r="AB13" i="9"/>
  <c r="AR6" i="9"/>
  <c r="V13" i="9"/>
  <c r="AL6" i="9"/>
  <c r="R7" i="11"/>
  <c r="AC13" i="9"/>
  <c r="AS6" i="9"/>
  <c r="J15" i="11"/>
  <c r="M6" i="11"/>
  <c r="M15" i="11" s="1"/>
  <c r="W13" i="9"/>
  <c r="AM6" i="9"/>
  <c r="V7" i="11"/>
  <c r="AA11" i="11"/>
  <c r="Z11" i="11"/>
  <c r="Y11" i="11"/>
  <c r="X13" i="9"/>
  <c r="AN6" i="9"/>
  <c r="W7" i="11"/>
  <c r="AA13" i="9"/>
  <c r="AQ6" i="9"/>
  <c r="Z13" i="9"/>
  <c r="AP6" i="9"/>
  <c r="U7" i="11"/>
  <c r="T6" i="11" l="1"/>
  <c r="T15" i="11" s="1"/>
  <c r="U6" i="11"/>
  <c r="D21" i="13" s="1"/>
  <c r="V6" i="11"/>
  <c r="D22" i="13" s="1"/>
  <c r="Q6" i="11"/>
  <c r="D17" i="13" s="1"/>
  <c r="B17" i="13"/>
  <c r="AL13" i="9"/>
  <c r="AV6" i="9"/>
  <c r="AU6" i="9"/>
  <c r="AT6" i="9"/>
  <c r="AM13" i="9"/>
  <c r="B18" i="13"/>
  <c r="B19" i="13"/>
  <c r="AN13" i="9"/>
  <c r="W6" i="11"/>
  <c r="R6" i="11"/>
  <c r="B23" i="13"/>
  <c r="AR13" i="9"/>
  <c r="S6" i="11"/>
  <c r="B20" i="13"/>
  <c r="AO13" i="9"/>
  <c r="X6" i="11"/>
  <c r="B24" i="13"/>
  <c r="AS13" i="9"/>
  <c r="D20" i="13"/>
  <c r="B22" i="13"/>
  <c r="AQ13" i="9"/>
  <c r="B21" i="13"/>
  <c r="AP13" i="9"/>
  <c r="AA7" i="11"/>
  <c r="Y7" i="11"/>
  <c r="Z7" i="11"/>
  <c r="AA6" i="11" l="1"/>
  <c r="AA15" i="11" s="1"/>
  <c r="Q15" i="11"/>
  <c r="Y6" i="11"/>
  <c r="Y15" i="11" s="1"/>
  <c r="Z6" i="11"/>
  <c r="V15" i="11"/>
  <c r="U15" i="11"/>
  <c r="E21" i="13"/>
  <c r="E22" i="13"/>
  <c r="R15" i="11"/>
  <c r="D18" i="13"/>
  <c r="E18" i="13" s="1"/>
  <c r="B5" i="12"/>
  <c r="AT13" i="9"/>
  <c r="B6" i="13"/>
  <c r="C5" i="12"/>
  <c r="AU13" i="9"/>
  <c r="D24" i="13"/>
  <c r="E24" i="13" s="1"/>
  <c r="X15" i="11"/>
  <c r="E20" i="13"/>
  <c r="E17" i="13"/>
  <c r="B8" i="13"/>
  <c r="C8" i="13" s="1"/>
  <c r="C7" i="12"/>
  <c r="Z15" i="11"/>
  <c r="D5" i="12"/>
  <c r="AV13" i="9"/>
  <c r="D7" i="12"/>
  <c r="W15" i="11"/>
  <c r="D23" i="13"/>
  <c r="E23" i="13" s="1"/>
  <c r="D19" i="13"/>
  <c r="E19" i="13" s="1"/>
  <c r="S15" i="11"/>
  <c r="B7" i="12" l="1"/>
  <c r="B8" i="12" s="1"/>
  <c r="B10" i="13" s="1"/>
  <c r="C10" i="13" s="1"/>
  <c r="C8" i="12"/>
  <c r="B9" i="13"/>
  <c r="C6" i="13"/>
  <c r="D8" i="12"/>
  <c r="B11" i="13" s="1"/>
  <c r="C11" i="13" s="1"/>
  <c r="C9" i="13" l="1"/>
  <c r="F6" i="13"/>
  <c r="F8" i="13"/>
  <c r="E6" i="15"/>
  <c r="B12" i="13"/>
  <c r="F7" i="13"/>
  <c r="F6" i="15" l="1"/>
  <c r="C12" i="13"/>
  <c r="B13" i="13"/>
  <c r="C13" i="13" l="1"/>
  <c r="G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Formula prioritises a direct assembly mass input. If blank, the workbook scales from empty mass using MassShare_Empty.</t>
        </r>
      </text>
    </comment>
    <comment ref="F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Formula prioritises a direct assembly mass input. If blank, the workbook scales from empty mass using MassShare_Empty.</t>
        </r>
      </text>
    </comment>
    <comment ref="F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Formula prioritises a direct assembly mass input. If blank, the workbook scales from empty mass using MassShare_Empty.</t>
        </r>
      </text>
    </comment>
    <comment ref="F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Formula prioritises a direct assembly mass input. If blank, the workbook scales from empty mass using MassShare_Empty.</t>
        </r>
      </text>
    </comment>
    <comment ref="F1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Formula prioritises a direct assembly mass input. If blank, the workbook scales from empty mass using MassShare_Empty.</t>
        </r>
      </text>
    </comment>
    <comment ref="F1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Formula prioritises a direct assembly mass input. If blank, the workbook scales from empty mass using MassShare_Empty.</t>
        </r>
      </text>
    </comment>
  </commentList>
</comments>
</file>

<file path=xl/sharedStrings.xml><?xml version="1.0" encoding="utf-8"?>
<sst xmlns="http://schemas.openxmlformats.org/spreadsheetml/2006/main" count="1005" uniqueCount="458">
  <si>
    <t>Defence aircraft LCA framework workbook</t>
  </si>
  <si>
    <t>Purpose</t>
  </si>
  <si>
    <t>Transparent Excel front-end for a cradle-to-grave defence-aircraft LCA aligned to the dissertation framework: manufacturing, operations, and end-of-life only.</t>
  </si>
  <si>
    <t>Workflow</t>
  </si>
  <si>
    <t>Boundary</t>
  </si>
  <si>
    <t>Manufacturing + operations + end-of-life. Maintenance, munitions/payloads and infrastructure excluded to remain directly aligned with the dissertation boundary.</t>
  </si>
  <si>
    <t>Functional unit</t>
  </si>
  <si>
    <t>One aircraft over the stated lifetime flight hours.</t>
  </si>
  <si>
    <t>Method</t>
  </si>
  <si>
    <t>Data quality</t>
  </si>
  <si>
    <t>Notes</t>
  </si>
  <si>
    <t>Cells in blue are user-editable inputs. Green cells are linked/imported lookup values. Gray cells are static labels. Orange or red highlights indicate caution or failed checks.</t>
  </si>
  <si>
    <t>Workbook sheets</t>
  </si>
  <si>
    <t>Aircraft metadata, boundary controls and fuel-burn parameters</t>
  </si>
  <si>
    <t>Assemblies</t>
  </si>
  <si>
    <t>Assembly masses, logistics and data-class inputs</t>
  </si>
  <si>
    <t>Materials</t>
  </si>
  <si>
    <t>Material composition by assembly</t>
  </si>
  <si>
    <t>Fuel properties, scenario blends and fuel-factor helper table</t>
  </si>
  <si>
    <t>Default uncertainty values by data class</t>
  </si>
  <si>
    <t>Lookup table to replace with exported openLCA/ecoinvent factors</t>
  </si>
  <si>
    <t>Derived material masses and raw-material impacts</t>
  </si>
  <si>
    <t>Manufacturing energy, transport and manufacturing totals</t>
  </si>
  <si>
    <t>Material routing and end-of-life impacts</t>
  </si>
  <si>
    <t>Sensitivity</t>
  </si>
  <si>
    <t>Low/base/high totals and scenario comparisons</t>
  </si>
  <si>
    <t>Results</t>
  </si>
  <si>
    <t>Headline per-aircraft and fleet outputs</t>
  </si>
  <si>
    <t>Checks</t>
  </si>
  <si>
    <t>Validation logic and status flags</t>
  </si>
  <si>
    <t>Aircraft input and control sheet</t>
  </si>
  <si>
    <t>Core aircraft definition</t>
  </si>
  <si>
    <t>Derived / control checks</t>
  </si>
  <si>
    <t>Aircraft_Name</t>
  </si>
  <si>
    <t>Eurofighter Typhoon</t>
  </si>
  <si>
    <t>Manufacturing boundary</t>
  </si>
  <si>
    <t>Variant</t>
  </si>
  <si>
    <t>Tranche / generic open-source model</t>
  </si>
  <si>
    <t>User-editable</t>
  </si>
  <si>
    <t>Operations boundary</t>
  </si>
  <si>
    <t>Operational phase includes WTT + TTW fuel impacts only.</t>
  </si>
  <si>
    <t>Aircraft_Class</t>
  </si>
  <si>
    <t>Frontline combat aircraft</t>
  </si>
  <si>
    <t>End-of-life boundary</t>
  </si>
  <si>
    <t>Material routing + dismantling energy only.</t>
  </si>
  <si>
    <t>Empty_Mass_kg</t>
  </si>
  <si>
    <t>Typhoon example</t>
  </si>
  <si>
    <t>Scenario logic</t>
  </si>
  <si>
    <t>Low/high operations use low/high AlphaDry and fAB values.</t>
  </si>
  <si>
    <t>MTOW_kg</t>
  </si>
  <si>
    <t>Example</t>
  </si>
  <si>
    <t>Coverage expectation</t>
  </si>
  <si>
    <t>Blue cells may be replaced by platform-specific values without changing formulas.</t>
  </si>
  <si>
    <t>Service_Life_hr</t>
  </si>
  <si>
    <t>Fleet_Size</t>
  </si>
  <si>
    <t>Set &gt;1 for fleet results</t>
  </si>
  <si>
    <t>Annual_Fleet_Hours</t>
  </si>
  <si>
    <t>Illustrative</t>
  </si>
  <si>
    <t>Num_Engines</t>
  </si>
  <si>
    <t>Fdry_Max_kN</t>
  </si>
  <si>
    <t>Per engine</t>
  </si>
  <si>
    <t>FAB_Max_kN</t>
  </si>
  <si>
    <t>TSFC_dry_g_kNs</t>
  </si>
  <si>
    <t>TSFC_AB_g_kNs</t>
  </si>
  <si>
    <t>AlphaDry_Low</t>
  </si>
  <si>
    <t>Sensitivity lower bound</t>
  </si>
  <si>
    <t>AlphaDry_Base</t>
  </si>
  <si>
    <t>Baseline</t>
  </si>
  <si>
    <t>AlphaDry_High</t>
  </si>
  <si>
    <t>Sensitivity upper bound</t>
  </si>
  <si>
    <t>AlphaAB_Base</t>
  </si>
  <si>
    <t>fAB_Low</t>
  </si>
  <si>
    <t>fAB_Base</t>
  </si>
  <si>
    <t>fAB_High</t>
  </si>
  <si>
    <t>Fuel_Capacity_kg</t>
  </si>
  <si>
    <t>Final_Assembly_Location</t>
  </si>
  <si>
    <t>Warton, Lancashire, UK</t>
  </si>
  <si>
    <t>Receiving location</t>
  </si>
  <si>
    <t>Proxy_Aircraft</t>
  </si>
  <si>
    <t>Airbus A320 family</t>
  </si>
  <si>
    <t>For proxy scaling</t>
  </si>
  <si>
    <t>Baseline_Scenario</t>
  </si>
  <si>
    <t>JetA1_100</t>
  </si>
  <si>
    <t>LCIA_Method</t>
  </si>
  <si>
    <t>ReCiPe Midpoint (H)</t>
  </si>
  <si>
    <t>Framework default</t>
  </si>
  <si>
    <t>Database_Version</t>
  </si>
  <si>
    <t>ecoinvent + openLCA export</t>
  </si>
  <si>
    <t>Assembly inventory</t>
  </si>
  <si>
    <t>Data_Class</t>
  </si>
  <si>
    <t>Source</t>
  </si>
  <si>
    <t>FUS</t>
  </si>
  <si>
    <t>Fuselage</t>
  </si>
  <si>
    <t>Y</t>
  </si>
  <si>
    <t>Airframe</t>
  </si>
  <si>
    <t>N</t>
  </si>
  <si>
    <t>UK</t>
  </si>
  <si>
    <t>Estimated</t>
  </si>
  <si>
    <t>Typhoon + A320 proxy scaling</t>
  </si>
  <si>
    <t>WNG</t>
  </si>
  <si>
    <t>Wings</t>
  </si>
  <si>
    <t>Spain/Italy</t>
  </si>
  <si>
    <t>Typhoon wing inventory</t>
  </si>
  <si>
    <t>EMP</t>
  </si>
  <si>
    <t>Empennage</t>
  </si>
  <si>
    <t>Spain/Italy/UK</t>
  </si>
  <si>
    <t>Proxy</t>
  </si>
  <si>
    <t>A320 stabiliser template + Typhoon logic</t>
  </si>
  <si>
    <t>PRO</t>
  </si>
  <si>
    <t>Propulsion</t>
  </si>
  <si>
    <t>UK/Italy/Germany/Spain</t>
  </si>
  <si>
    <t>EJ200 open-source reconstruction</t>
  </si>
  <si>
    <t>LGR</t>
  </si>
  <si>
    <t>LandingGear</t>
  </si>
  <si>
    <t>UK/France/Germany/Italy</t>
  </si>
  <si>
    <t>A320 landing-gear proxy + Typhoon routing</t>
  </si>
  <si>
    <t>SYS</t>
  </si>
  <si>
    <t>Systems</t>
  </si>
  <si>
    <t>Assumed</t>
  </si>
  <si>
    <t>Residual mass closure</t>
  </si>
  <si>
    <t>TOTAL</t>
  </si>
  <si>
    <t>Material</t>
  </si>
  <si>
    <t>Assembly</t>
  </si>
  <si>
    <t>CFRP</t>
  </si>
  <si>
    <t>Composite</t>
  </si>
  <si>
    <t>Typhoon fuselage inventory / scaled metals split</t>
  </si>
  <si>
    <t>GFRP</t>
  </si>
  <si>
    <t>Titanium</t>
  </si>
  <si>
    <t>Metal</t>
  </si>
  <si>
    <t>NickelSuperalloy</t>
  </si>
  <si>
    <t>Steel</t>
  </si>
  <si>
    <t>Aluminium</t>
  </si>
  <si>
    <t>Electronics</t>
  </si>
  <si>
    <t>Other</t>
  </si>
  <si>
    <t>Typhoon stabiliser proxy aggregation</t>
  </si>
  <si>
    <t>Main + nose landing gear aggregation</t>
  </si>
  <si>
    <t>Residual mass closure assumption</t>
  </si>
  <si>
    <t>Fuel properties and scenario blends</t>
  </si>
  <si>
    <t>Fuel property table</t>
  </si>
  <si>
    <t>WTT_TAP100</t>
  </si>
  <si>
    <t>GWP100</t>
  </si>
  <si>
    <t>FDP</t>
  </si>
  <si>
    <t>PMFP</t>
  </si>
  <si>
    <t>TAP100</t>
  </si>
  <si>
    <t>FEP</t>
  </si>
  <si>
    <t>HTPinf</t>
  </si>
  <si>
    <t>IRP_HE</t>
  </si>
  <si>
    <t>METPinf</t>
  </si>
  <si>
    <t>Jet-A1</t>
  </si>
  <si>
    <t>Fuel_WTT_Jet-A1</t>
  </si>
  <si>
    <t>Fuel_TTW_Jet-A1</t>
  </si>
  <si>
    <t>Replace these linked defaults with project-specific openLCA export factors.</t>
  </si>
  <si>
    <t>HEFA</t>
  </si>
  <si>
    <t>Fuel_WTT_HEFA</t>
  </si>
  <si>
    <t>Fuel_TTW_HEFA</t>
  </si>
  <si>
    <t>HEFA_40</t>
  </si>
  <si>
    <t>Synthetic_PT_L</t>
  </si>
  <si>
    <t>Fuel_WTT_SynPTL</t>
  </si>
  <si>
    <t>Fuel_TTW_SynPTL</t>
  </si>
  <si>
    <t>HEFA_100</t>
  </si>
  <si>
    <t>SynPTL_50</t>
  </si>
  <si>
    <t>Scenario share check</t>
  </si>
  <si>
    <t>Scenario</t>
  </si>
  <si>
    <t>Blend share sum</t>
  </si>
  <si>
    <t>Data quality classes</t>
  </si>
  <si>
    <t>Definition</t>
  </si>
  <si>
    <t>Default_Uncertainty</t>
  </si>
  <si>
    <t>Score</t>
  </si>
  <si>
    <t>Measured</t>
  </si>
  <si>
    <t>Direct platform-specific measured or official value</t>
  </si>
  <si>
    <t>Engineering estimate grounded in platform-specific evidence</t>
  </si>
  <si>
    <t>Analogous aircraft / subsystem value</t>
  </si>
  <si>
    <t>Rule-of-thumb placeholder or residual closure assumption</t>
  </si>
  <si>
    <t>Example factor lookup table (replace with openLCA export)</t>
  </si>
  <si>
    <t>Use this sheet to paste or overwrite exported process factors from openLCA / ecoinvent. Keys are referenced throughout the workbook.</t>
  </si>
  <si>
    <t>Key</t>
  </si>
  <si>
    <t>Factor_Type</t>
  </si>
  <si>
    <t>Unit</t>
  </si>
  <si>
    <t>Raw_CFRP</t>
  </si>
  <si>
    <t>RawMaterial</t>
  </si>
  <si>
    <t>per kg</t>
  </si>
  <si>
    <t>Example default</t>
  </si>
  <si>
    <t>Raw_GFRP</t>
  </si>
  <si>
    <t>Raw_Titanium</t>
  </si>
  <si>
    <t>Raw_NickelSuperalloy</t>
  </si>
  <si>
    <t>Raw_Steel</t>
  </si>
  <si>
    <t>Raw_Aluminium</t>
  </si>
  <si>
    <t>Raw_Electronics</t>
  </si>
  <si>
    <t>Raw_Other</t>
  </si>
  <si>
    <t>Energy_Electricity</t>
  </si>
  <si>
    <t>ProcessEnergy</t>
  </si>
  <si>
    <t>per MJ</t>
  </si>
  <si>
    <t>Grid electricity intensity</t>
  </si>
  <si>
    <t>Freight_Road</t>
  </si>
  <si>
    <t>Transport</t>
  </si>
  <si>
    <t>per tkm</t>
  </si>
  <si>
    <t>Road freight example</t>
  </si>
  <si>
    <t>Freight_Sea</t>
  </si>
  <si>
    <t>Sea freight example</t>
  </si>
  <si>
    <t>FuelWTT</t>
  </si>
  <si>
    <t>Example Jet-A1 upstream factor</t>
  </si>
  <si>
    <t>FuelTTW</t>
  </si>
  <si>
    <t>Example Jet-A1 combustion factor</t>
  </si>
  <si>
    <t>Illustrative HEFA upstream factor</t>
  </si>
  <si>
    <t>Biogenic CO2 treated as zero for GWP</t>
  </si>
  <si>
    <t>Illustrative synthetic fuel upstream factor</t>
  </si>
  <si>
    <t>Illustrative synthetic fuel TTW factor</t>
  </si>
  <si>
    <t>EOL_Recycle_CFRP</t>
  </si>
  <si>
    <t>EOL</t>
  </si>
  <si>
    <t>Illustrative limited recycling credit</t>
  </si>
  <si>
    <t>EOL_Incinerate_CFRP</t>
  </si>
  <si>
    <t>Illustrative incineration burden</t>
  </si>
  <si>
    <t>EOL_Landfill_CFRP</t>
  </si>
  <si>
    <t>Illustrative landfill burden</t>
  </si>
  <si>
    <t>EOL_Recycle_GFRP</t>
  </si>
  <si>
    <t>EOL_Incinerate_GFRP</t>
  </si>
  <si>
    <t>EOL_Landfill_GFRP</t>
  </si>
  <si>
    <t>EOL_Recycle_Titanium</t>
  </si>
  <si>
    <t>Illustrative recycling credit</t>
  </si>
  <si>
    <t>EOL_Incinerate_Titanium</t>
  </si>
  <si>
    <t>Not normally used</t>
  </si>
  <si>
    <t>EOL_Landfill_Titanium</t>
  </si>
  <si>
    <t>EOL_Recycle_NickelSuperalloy</t>
  </si>
  <si>
    <t>EOL_Incinerate_NickelSuperalloy</t>
  </si>
  <si>
    <t>EOL_Landfill_NickelSuperalloy</t>
  </si>
  <si>
    <t>EOL_Recycle_Steel</t>
  </si>
  <si>
    <t>EOL_Incinerate_Steel</t>
  </si>
  <si>
    <t>EOL_Landfill_Steel</t>
  </si>
  <si>
    <t>EOL_Recycle_Aluminium</t>
  </si>
  <si>
    <t>EOL_Incinerate_Aluminium</t>
  </si>
  <si>
    <t>EOL_Landfill_Aluminium</t>
  </si>
  <si>
    <t>EOL_Recycle_Electronics</t>
  </si>
  <si>
    <t>Illustrative electronics recycling credit</t>
  </si>
  <si>
    <t>EOL_Incinerate_Electronics</t>
  </si>
  <si>
    <t>Illustrative electronics incineration</t>
  </si>
  <si>
    <t>EOL_Landfill_Electronics</t>
  </si>
  <si>
    <t>Illustrative electronics landfill</t>
  </si>
  <si>
    <t>EOL_Recycle_Other</t>
  </si>
  <si>
    <t>EOL_Incinerate_Other</t>
  </si>
  <si>
    <t>EOL_Landfill_Other</t>
  </si>
  <si>
    <t>Uncertainty</t>
  </si>
  <si>
    <t>Category totals</t>
  </si>
  <si>
    <t>Manufacturing calculations</t>
  </si>
  <si>
    <t>Operational fuel burn and impacts</t>
  </si>
  <si>
    <t>Selected baseline scenario</t>
  </si>
  <si>
    <t>End-of-life routing and impacts</t>
  </si>
  <si>
    <t>Low/base/high sensitivity summary</t>
  </si>
  <si>
    <t>Phase</t>
  </si>
  <si>
    <t>Low_GWP</t>
  </si>
  <si>
    <t>Base_GWP</t>
  </si>
  <si>
    <t>High_GWP</t>
  </si>
  <si>
    <t>Operational_GWP</t>
  </si>
  <si>
    <t>% vs baseline</t>
  </si>
  <si>
    <t>Manufacturing</t>
  </si>
  <si>
    <t>Operations</t>
  </si>
  <si>
    <t>End_of_Life</t>
  </si>
  <si>
    <t>Headline results</t>
  </si>
  <si>
    <t>Selected scenario</t>
  </si>
  <si>
    <t>Headline KPI</t>
  </si>
  <si>
    <t>Value (kg eq)</t>
  </si>
  <si>
    <t>Narrative display</t>
  </si>
  <si>
    <t>Share_of_total</t>
  </si>
  <si>
    <t>Manufacturing_GWP_per_aircraft</t>
  </si>
  <si>
    <t>Operational_GWP_per_aircraft</t>
  </si>
  <si>
    <t>End_of_Life_GWP_per_aircraft</t>
  </si>
  <si>
    <t>Total_GWP_per_aircraft</t>
  </si>
  <si>
    <t>Total_GWP_low</t>
  </si>
  <si>
    <t>Total_GWP_high</t>
  </si>
  <si>
    <t>Fleet_Lifetime_GWP</t>
  </si>
  <si>
    <t>Fleet_Annual_GWP</t>
  </si>
  <si>
    <t>Impact category</t>
  </si>
  <si>
    <t>Total</t>
  </si>
  <si>
    <t>% vs JetA1_100</t>
  </si>
  <si>
    <t>Validation checks</t>
  </si>
  <si>
    <t>Check</t>
  </si>
  <si>
    <t>Formula / metric</t>
  </si>
  <si>
    <t>Status</t>
  </si>
  <si>
    <t>Assembly mass closure</t>
  </si>
  <si>
    <t>Material shares normalised by assembly</t>
  </si>
  <si>
    <t>Scenario blend shares</t>
  </si>
  <si>
    <t>EOL route shares by material</t>
  </si>
  <si>
    <t>No negative assembly inputs</t>
  </si>
  <si>
    <t>No blank data classes in assemblies</t>
  </si>
  <si>
    <t>No blank data classes in materials</t>
  </si>
  <si>
    <t>Material factor coverage</t>
  </si>
  <si>
    <t>AlphaDry order</t>
  </si>
  <si>
    <t>fAB order</t>
  </si>
  <si>
    <t>Coverage ratio (Measured+Estimated mass share)</t>
  </si>
  <si>
    <t>Baseline hourly fuel vs fuel capacity</t>
  </si>
  <si>
    <t>Fleet register</t>
  </si>
  <si>
    <t>Append one row per aircraft type to build a fleet register.</t>
  </si>
  <si>
    <t>Assembly ID</t>
  </si>
  <si>
    <t>Material Group</t>
  </si>
  <si>
    <t>Used Mass kg</t>
  </si>
  <si>
    <t>Normalised Percent</t>
  </si>
  <si>
    <t>Material Mass kg</t>
  </si>
  <si>
    <t>Data Class</t>
  </si>
  <si>
    <t>Mass x Uncertainty</t>
  </si>
  <si>
    <t>Override YN</t>
  </si>
  <si>
    <t>Factor Key</t>
  </si>
  <si>
    <t>Factor GWP100</t>
  </si>
  <si>
    <t>Factor FDP</t>
  </si>
  <si>
    <t>Factor PMFP</t>
  </si>
  <si>
    <t>Factor TAP100</t>
  </si>
  <si>
    <t>Factor FEP</t>
  </si>
  <si>
    <t>Factor HTPinf</t>
  </si>
  <si>
    <t>Factor IRP HE</t>
  </si>
  <si>
    <t>Factor METPinf</t>
  </si>
  <si>
    <t>Impact GWP100</t>
  </si>
  <si>
    <t>Impact FDP</t>
  </si>
  <si>
    <t>Impact PMFP</t>
  </si>
  <si>
    <t>Impact TAP100</t>
  </si>
  <si>
    <t>Impact FEP</t>
  </si>
  <si>
    <t>Impact HTPinf</t>
  </si>
  <si>
    <t>Impact IRP HE</t>
  </si>
  <si>
    <t>Impact METPinf</t>
  </si>
  <si>
    <t>Assembly Name</t>
  </si>
  <si>
    <t>Composite Mass kg</t>
  </si>
  <si>
    <t>Metal Mass kg</t>
  </si>
  <si>
    <t>Electronics Mass kg</t>
  </si>
  <si>
    <t>Other Mass kg</t>
  </si>
  <si>
    <t>Composite Process Energy MJ</t>
  </si>
  <si>
    <t>Metal Process Energy MJ</t>
  </si>
  <si>
    <t>Total Process Energy MJ</t>
  </si>
  <si>
    <t>Road tkm</t>
  </si>
  <si>
    <t>Sea tkm</t>
  </si>
  <si>
    <t>Assembly Uncertainty</t>
  </si>
  <si>
    <t>Raw GWP100</t>
  </si>
  <si>
    <t>Raw FDP</t>
  </si>
  <si>
    <t>Raw PMFP</t>
  </si>
  <si>
    <t>Raw TAP100</t>
  </si>
  <si>
    <t>Raw FEP</t>
  </si>
  <si>
    <t>Raw HTPinf</t>
  </si>
  <si>
    <t>Raw IRP HE</t>
  </si>
  <si>
    <t>Raw METPinf</t>
  </si>
  <si>
    <t>Process GWP100</t>
  </si>
  <si>
    <t>Process FDP</t>
  </si>
  <si>
    <t>Process PMFP</t>
  </si>
  <si>
    <t>Process TAP100</t>
  </si>
  <si>
    <t>Process FEP</t>
  </si>
  <si>
    <t>Process HTPinf</t>
  </si>
  <si>
    <t>Process IRP HE</t>
  </si>
  <si>
    <t>Process METPinf</t>
  </si>
  <si>
    <t>Transport GWP100</t>
  </si>
  <si>
    <t>Transport FDP</t>
  </si>
  <si>
    <t>Transport PMFP</t>
  </si>
  <si>
    <t>Transport TAP100</t>
  </si>
  <si>
    <t>Transport FEP</t>
  </si>
  <si>
    <t>Transport HTPinf</t>
  </si>
  <si>
    <t>Transport IRP HE</t>
  </si>
  <si>
    <t>Transport METPinf</t>
  </si>
  <si>
    <t>Manufacturing GWP100</t>
  </si>
  <si>
    <t>Manufacturing FDP</t>
  </si>
  <si>
    <t>Manufacturing PMFP</t>
  </si>
  <si>
    <t>Manufacturing TAP100</t>
  </si>
  <si>
    <t>Manufacturing FEP</t>
  </si>
  <si>
    <t>Manufacturing HTPinf</t>
  </si>
  <si>
    <t>Manufacturing IRP HE</t>
  </si>
  <si>
    <t>Manufacturing METPinf</t>
  </si>
  <si>
    <t>GWP Low</t>
  </si>
  <si>
    <t>GWP Base</t>
  </si>
  <si>
    <t>GWP High</t>
  </si>
  <si>
    <t>ReCiPe Midpoint (H)  factor structure with openLCA-exported lookups. GWP is the primary headline output; additional midpoint columns are included for modular expansion.</t>
  </si>
  <si>
    <t>Every input should be tagged as Measured / Estimated / Proxy / Assumed. Default uncertainty bands are stored in Data Quality.</t>
  </si>
  <si>
    <t>Aircraft Input</t>
  </si>
  <si>
    <t>1) Edit blue cells in Aircraft Input, Assemblies, Materials, Fuel Scenarios and Calc EOL. 2) Replace example factor values in OpenLCA Factors with exported openLCA + ecoinvent ReCiPe Midpoint (H) factors. 3) Review Checks. 4) Read Results and Sensitivity.</t>
  </si>
  <si>
    <t>Fuel Scenarios</t>
  </si>
  <si>
    <t>Data Quality</t>
  </si>
  <si>
    <t>OpenLCA Factors</t>
  </si>
  <si>
    <t>Calc Materials</t>
  </si>
  <si>
    <t>Calc Manufacturing</t>
  </si>
  <si>
    <t>Calc Operations</t>
  </si>
  <si>
    <t>Calc EOL</t>
  </si>
  <si>
    <t>Fleet Register</t>
  </si>
  <si>
    <t>Fuel burn, WTT/TTW impacts and fuel ranges</t>
  </si>
  <si>
    <t xml:space="preserve">Simple fleet aggregation register </t>
  </si>
  <si>
    <t>Replace with your version</t>
  </si>
  <si>
    <t>Must match Calc Operations scenario</t>
  </si>
  <si>
    <t xml:space="preserve">Set based on configuration </t>
  </si>
  <si>
    <t xml:space="preserve">Worked example </t>
  </si>
  <si>
    <t>Manufacturing includes raw material supply, processing energy and inbound transport.</t>
  </si>
  <si>
    <t>Mixed</t>
  </si>
  <si>
    <t>Include YN</t>
  </si>
  <si>
    <t>Mass Input kg</t>
  </si>
  <si>
    <t>MassShare Empty</t>
  </si>
  <si>
    <t>Assembly Class</t>
  </si>
  <si>
    <t>Reuse Eligible YN</t>
  </si>
  <si>
    <t>Origin Region</t>
  </si>
  <si>
    <t>Road km Origin</t>
  </si>
  <si>
    <t>Sea km</t>
  </si>
  <si>
    <t>Road km Final</t>
  </si>
  <si>
    <t>Landing Gear</t>
  </si>
  <si>
    <t>Systems Other</t>
  </si>
  <si>
    <t>Percent Input</t>
  </si>
  <si>
    <t>Input % Sum</t>
  </si>
  <si>
    <t>Normalised % Sum</t>
  </si>
  <si>
    <t>Fuel Type</t>
  </si>
  <si>
    <t>Density kg per L</t>
  </si>
  <si>
    <t>WTT Key</t>
  </si>
  <si>
    <t>TTW Key</t>
  </si>
  <si>
    <t>WTT GWP100</t>
  </si>
  <si>
    <t>WTT FDP</t>
  </si>
  <si>
    <t>WTT PMFP</t>
  </si>
  <si>
    <t>WTT TAP100</t>
  </si>
  <si>
    <t>WTT FEP</t>
  </si>
  <si>
    <t>WTT HTPinf</t>
  </si>
  <si>
    <t>WTT IRP HE</t>
  </si>
  <si>
    <t>WTT METPinf</t>
  </si>
  <si>
    <t>TTW GWP100</t>
  </si>
  <si>
    <t>TTW FDP</t>
  </si>
  <si>
    <t>TTW PMFP</t>
  </si>
  <si>
    <t>TTW TAP100</t>
  </si>
  <si>
    <t>TTW FEP</t>
  </si>
  <si>
    <t>TTW HTPinf</t>
  </si>
  <si>
    <t>TTW IRP HE</t>
  </si>
  <si>
    <t>TTW METPinf</t>
  </si>
  <si>
    <t>Scenario Name</t>
  </si>
  <si>
    <t>Volume Share</t>
  </si>
  <si>
    <t>Mass per L Contribution</t>
  </si>
  <si>
    <t>GWP100 Contribution</t>
  </si>
  <si>
    <t>FDP Contribution</t>
  </si>
  <si>
    <t>PMFP Contribution</t>
  </si>
  <si>
    <t>TAP100 Contribution</t>
  </si>
  <si>
    <t>FEP Contribution</t>
  </si>
  <si>
    <t>HTPinf Contribution</t>
  </si>
  <si>
    <t>IRP HE Contribution</t>
  </si>
  <si>
    <t>METPinf Contribution</t>
  </si>
  <si>
    <t>Mass per L</t>
  </si>
  <si>
    <t>IRP HE</t>
  </si>
  <si>
    <t>Mdot kg s Base</t>
  </si>
  <si>
    <t>Fuel kg hr Base</t>
  </si>
  <si>
    <t>Lifetime Fuel kg Base</t>
  </si>
  <si>
    <t>Ref Fuel Volume L</t>
  </si>
  <si>
    <t>Scenario Fuel Mass kg</t>
  </si>
  <si>
    <t>Fuel kg hr Low</t>
  </si>
  <si>
    <t>Fuel kg hr High</t>
  </si>
  <si>
    <t>Total Material kg</t>
  </si>
  <si>
    <t>Reuse Fraction</t>
  </si>
  <si>
    <t>Recycle Fraction</t>
  </si>
  <si>
    <t>Incinerate Fraction</t>
  </si>
  <si>
    <t>Landfill Fraction</t>
  </si>
  <si>
    <t>Reuse Mass kg</t>
  </si>
  <si>
    <t>Residual Mass kg</t>
  </si>
  <si>
    <t>Recycle Mass kg</t>
  </si>
  <si>
    <t>Incinerate Mass kg</t>
  </si>
  <si>
    <t>Landfill Mass kg</t>
  </si>
  <si>
    <t>Cutting Energy MJ</t>
  </si>
  <si>
    <t>Recycle Key</t>
  </si>
  <si>
    <t>Incinerate Key</t>
  </si>
  <si>
    <t>Landfill Key</t>
  </si>
  <si>
    <t>Aircraft Name</t>
  </si>
  <si>
    <t>Fleet Size</t>
  </si>
  <si>
    <t>Annual Fleet Hours</t>
  </si>
  <si>
    <t>PerAircraft GWP</t>
  </si>
  <si>
    <t>Fleet Lifetime GWP</t>
  </si>
  <si>
    <t>Fleet Annual GWP</t>
  </si>
  <si>
    <t>Data Completeness</t>
  </si>
  <si>
    <t>Dominant Hotspot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</si>
</sst>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666666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4DFE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vertical="top" wrapText="1"/>
    </xf>
    <xf numFmtId="0" fontId="3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left"/>
    </xf>
    <xf numFmtId="0" fontId="4" fillId="0" borderId="1" xfId="0" applyFont="1" applyBorder="1"/>
    <xf numFmtId="164" fontId="5" fillId="4" borderId="1" xfId="0" applyNumberFormat="1" applyFont="1" applyFill="1" applyBorder="1" applyAlignment="1">
      <alignment horizontal="left"/>
    </xf>
    <xf numFmtId="1" fontId="5" fillId="4" borderId="1" xfId="0" applyNumberFormat="1" applyFont="1" applyFill="1" applyBorder="1" applyAlignment="1">
      <alignment horizontal="left"/>
    </xf>
    <xf numFmtId="165" fontId="5" fillId="4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4" fontId="4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5" fontId="3" fillId="3" borderId="1" xfId="0" applyNumberFormat="1" applyFont="1" applyFill="1" applyBorder="1"/>
    <xf numFmtId="164" fontId="3" fillId="3" borderId="1" xfId="0" applyNumberFormat="1" applyFont="1" applyFill="1" applyBorder="1"/>
    <xf numFmtId="165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/>
    <xf numFmtId="166" fontId="5" fillId="4" borderId="1" xfId="0" applyNumberFormat="1" applyFont="1" applyFill="1" applyBorder="1"/>
    <xf numFmtId="166" fontId="7" fillId="6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164" fontId="4" fillId="0" borderId="1" xfId="0" applyNumberFormat="1" applyFont="1" applyBorder="1"/>
    <xf numFmtId="166" fontId="4" fillId="0" borderId="1" xfId="0" applyNumberFormat="1" applyFont="1" applyBorder="1"/>
    <xf numFmtId="166" fontId="4" fillId="0" borderId="1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8" fillId="0" borderId="0" xfId="0" applyFont="1"/>
    <xf numFmtId="0" fontId="9" fillId="2" borderId="1" xfId="0" applyFont="1" applyFill="1" applyBorder="1"/>
    <xf numFmtId="0" fontId="10" fillId="3" borderId="1" xfId="0" applyFont="1" applyFill="1" applyBorder="1"/>
    <xf numFmtId="0" fontId="11" fillId="0" borderId="1" xfId="0" applyFont="1" applyBorder="1" applyAlignment="1">
      <alignment vertical="top" wrapText="1"/>
    </xf>
    <xf numFmtId="0" fontId="11" fillId="0" borderId="1" xfId="0" applyFont="1" applyBorder="1"/>
    <xf numFmtId="0" fontId="12" fillId="4" borderId="1" xfId="0" applyFont="1" applyFill="1" applyBorder="1"/>
    <xf numFmtId="0" fontId="1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241300</xdr:colOff>
      <xdr:row>14</xdr:row>
      <xdr:rowOff>130175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43F9931F-978B-45DA-8D35-0F0CDF68797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3175000" cy="317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Qualit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lity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workbookViewId="0">
      <selection activeCell="B12" sqref="B12:B25"/>
    </sheetView>
  </sheetViews>
  <sheetFormatPr defaultRowHeight="14.75" x14ac:dyDescent="0.75"/>
  <cols>
    <col min="1" max="1" width="28" customWidth="1"/>
    <col min="2" max="2" width="110" customWidth="1"/>
  </cols>
  <sheetData>
    <row r="1" spans="1:2" ht="18.5" x14ac:dyDescent="0.9">
      <c r="A1" s="1" t="s">
        <v>0</v>
      </c>
    </row>
    <row r="3" spans="1:2" ht="29.5" x14ac:dyDescent="0.75">
      <c r="A3" s="29" t="s">
        <v>1</v>
      </c>
      <c r="B3" s="3" t="s">
        <v>2</v>
      </c>
    </row>
    <row r="4" spans="1:2" ht="44.25" x14ac:dyDescent="0.75">
      <c r="A4" s="29" t="s">
        <v>3</v>
      </c>
      <c r="B4" s="3" t="s">
        <v>365</v>
      </c>
    </row>
    <row r="5" spans="1:2" ht="29.5" x14ac:dyDescent="0.75">
      <c r="A5" s="29" t="s">
        <v>4</v>
      </c>
      <c r="B5" s="3" t="s">
        <v>5</v>
      </c>
    </row>
    <row r="6" spans="1:2" x14ac:dyDescent="0.75">
      <c r="A6" s="29" t="s">
        <v>6</v>
      </c>
      <c r="B6" s="3" t="s">
        <v>7</v>
      </c>
    </row>
    <row r="7" spans="1:2" ht="29.5" x14ac:dyDescent="0.75">
      <c r="A7" s="29" t="s">
        <v>8</v>
      </c>
      <c r="B7" s="3" t="s">
        <v>362</v>
      </c>
    </row>
    <row r="8" spans="1:2" x14ac:dyDescent="0.75">
      <c r="A8" s="29" t="s">
        <v>9</v>
      </c>
      <c r="B8" s="3" t="s">
        <v>363</v>
      </c>
    </row>
    <row r="9" spans="1:2" ht="29.5" x14ac:dyDescent="0.75">
      <c r="A9" s="29" t="s">
        <v>10</v>
      </c>
      <c r="B9" s="3" t="s">
        <v>11</v>
      </c>
    </row>
    <row r="10" spans="1:2" x14ac:dyDescent="0.75">
      <c r="B10" s="3"/>
    </row>
    <row r="11" spans="1:2" x14ac:dyDescent="0.75">
      <c r="A11" s="2" t="s">
        <v>12</v>
      </c>
      <c r="B11" s="3"/>
    </row>
    <row r="12" spans="1:2" x14ac:dyDescent="0.75">
      <c r="A12" s="30" t="s">
        <v>364</v>
      </c>
      <c r="B12" s="5" t="s">
        <v>13</v>
      </c>
    </row>
    <row r="13" spans="1:2" x14ac:dyDescent="0.75">
      <c r="A13" s="4" t="s">
        <v>14</v>
      </c>
      <c r="B13" s="5" t="s">
        <v>15</v>
      </c>
    </row>
    <row r="14" spans="1:2" x14ac:dyDescent="0.75">
      <c r="A14" s="4" t="s">
        <v>16</v>
      </c>
      <c r="B14" s="5" t="s">
        <v>17</v>
      </c>
    </row>
    <row r="15" spans="1:2" x14ac:dyDescent="0.75">
      <c r="A15" s="4" t="s">
        <v>366</v>
      </c>
      <c r="B15" s="5" t="s">
        <v>18</v>
      </c>
    </row>
    <row r="16" spans="1:2" x14ac:dyDescent="0.75">
      <c r="A16" s="4" t="s">
        <v>367</v>
      </c>
      <c r="B16" s="5" t="s">
        <v>19</v>
      </c>
    </row>
    <row r="17" spans="1:2" x14ac:dyDescent="0.75">
      <c r="A17" s="4" t="s">
        <v>368</v>
      </c>
      <c r="B17" s="5" t="s">
        <v>20</v>
      </c>
    </row>
    <row r="18" spans="1:2" x14ac:dyDescent="0.75">
      <c r="A18" s="4" t="s">
        <v>369</v>
      </c>
      <c r="B18" s="5" t="s">
        <v>21</v>
      </c>
    </row>
    <row r="19" spans="1:2" x14ac:dyDescent="0.75">
      <c r="A19" s="4" t="s">
        <v>370</v>
      </c>
      <c r="B19" s="5" t="s">
        <v>22</v>
      </c>
    </row>
    <row r="20" spans="1:2" x14ac:dyDescent="0.75">
      <c r="A20" s="4" t="s">
        <v>371</v>
      </c>
      <c r="B20" s="31" t="s">
        <v>374</v>
      </c>
    </row>
    <row r="21" spans="1:2" x14ac:dyDescent="0.75">
      <c r="A21" s="4" t="s">
        <v>372</v>
      </c>
      <c r="B21" s="5" t="s">
        <v>23</v>
      </c>
    </row>
    <row r="22" spans="1:2" x14ac:dyDescent="0.75">
      <c r="A22" s="4" t="s">
        <v>24</v>
      </c>
      <c r="B22" s="5" t="s">
        <v>25</v>
      </c>
    </row>
    <row r="23" spans="1:2" x14ac:dyDescent="0.75">
      <c r="A23" s="4" t="s">
        <v>26</v>
      </c>
      <c r="B23" s="5" t="s">
        <v>27</v>
      </c>
    </row>
    <row r="24" spans="1:2" x14ac:dyDescent="0.75">
      <c r="A24" s="4" t="s">
        <v>28</v>
      </c>
      <c r="B24" s="5" t="s">
        <v>29</v>
      </c>
    </row>
    <row r="25" spans="1:2" x14ac:dyDescent="0.75">
      <c r="A25" s="4" t="s">
        <v>373</v>
      </c>
      <c r="B25" s="31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topLeftCell="C1" workbookViewId="0">
      <selection activeCell="F8" sqref="F8"/>
    </sheetView>
  </sheetViews>
  <sheetFormatPr defaultRowHeight="14.75" x14ac:dyDescent="0.75"/>
  <cols>
    <col min="1" max="1" width="24" customWidth="1"/>
    <col min="2" max="2" width="20" customWidth="1"/>
    <col min="3" max="3" width="40" customWidth="1"/>
    <col min="5" max="5" width="24" customWidth="1"/>
    <col min="6" max="6" width="70" customWidth="1"/>
  </cols>
  <sheetData>
    <row r="1" spans="1:6" ht="18.5" x14ac:dyDescent="0.9">
      <c r="A1" s="1" t="s">
        <v>30</v>
      </c>
    </row>
    <row r="3" spans="1:6" x14ac:dyDescent="0.75">
      <c r="A3" s="2" t="s">
        <v>31</v>
      </c>
      <c r="E3" s="2" t="s">
        <v>32</v>
      </c>
    </row>
    <row r="4" spans="1:6" ht="29.5" x14ac:dyDescent="0.75">
      <c r="A4" s="4" t="s">
        <v>33</v>
      </c>
      <c r="B4" s="6" t="s">
        <v>34</v>
      </c>
      <c r="C4" s="32" t="s">
        <v>379</v>
      </c>
      <c r="E4" s="4" t="s">
        <v>35</v>
      </c>
      <c r="F4" s="31" t="s">
        <v>380</v>
      </c>
    </row>
    <row r="5" spans="1:6" x14ac:dyDescent="0.75">
      <c r="A5" s="4" t="s">
        <v>36</v>
      </c>
      <c r="B5" s="6" t="s">
        <v>37</v>
      </c>
      <c r="C5" s="7" t="s">
        <v>38</v>
      </c>
      <c r="E5" s="4" t="s">
        <v>39</v>
      </c>
      <c r="F5" s="5" t="s">
        <v>40</v>
      </c>
    </row>
    <row r="6" spans="1:6" x14ac:dyDescent="0.75">
      <c r="A6" s="4" t="s">
        <v>41</v>
      </c>
      <c r="B6" s="6" t="s">
        <v>42</v>
      </c>
      <c r="C6" s="7" t="s">
        <v>38</v>
      </c>
      <c r="E6" s="4" t="s">
        <v>43</v>
      </c>
      <c r="F6" s="5" t="s">
        <v>44</v>
      </c>
    </row>
    <row r="7" spans="1:6" x14ac:dyDescent="0.75">
      <c r="A7" s="4" t="s">
        <v>45</v>
      </c>
      <c r="B7" s="8">
        <v>11000</v>
      </c>
      <c r="C7" s="7" t="s">
        <v>46</v>
      </c>
      <c r="E7" s="4" t="s">
        <v>47</v>
      </c>
      <c r="F7" s="5" t="s">
        <v>48</v>
      </c>
    </row>
    <row r="8" spans="1:6" x14ac:dyDescent="0.75">
      <c r="A8" s="4" t="s">
        <v>49</v>
      </c>
      <c r="B8" s="8">
        <v>23500</v>
      </c>
      <c r="C8" s="7" t="s">
        <v>50</v>
      </c>
      <c r="E8" s="4" t="s">
        <v>51</v>
      </c>
      <c r="F8" s="5" t="s">
        <v>52</v>
      </c>
    </row>
    <row r="9" spans="1:6" x14ac:dyDescent="0.75">
      <c r="A9" s="4" t="s">
        <v>53</v>
      </c>
      <c r="B9" s="8">
        <v>6000</v>
      </c>
      <c r="C9" s="32" t="s">
        <v>378</v>
      </c>
    </row>
    <row r="10" spans="1:6" x14ac:dyDescent="0.75">
      <c r="A10" s="4" t="s">
        <v>54</v>
      </c>
      <c r="B10" s="9">
        <v>1</v>
      </c>
      <c r="C10" s="7" t="s">
        <v>55</v>
      </c>
    </row>
    <row r="11" spans="1:6" x14ac:dyDescent="0.75">
      <c r="A11" s="4" t="s">
        <v>56</v>
      </c>
      <c r="B11" s="8">
        <v>250</v>
      </c>
      <c r="C11" s="7" t="s">
        <v>57</v>
      </c>
    </row>
    <row r="12" spans="1:6" x14ac:dyDescent="0.75">
      <c r="A12" s="4" t="s">
        <v>58</v>
      </c>
      <c r="B12" s="9">
        <v>2</v>
      </c>
      <c r="C12" s="32" t="s">
        <v>378</v>
      </c>
    </row>
    <row r="13" spans="1:6" x14ac:dyDescent="0.75">
      <c r="A13" s="4" t="s">
        <v>59</v>
      </c>
      <c r="B13" s="8">
        <v>60</v>
      </c>
      <c r="C13" s="7" t="s">
        <v>60</v>
      </c>
    </row>
    <row r="14" spans="1:6" x14ac:dyDescent="0.75">
      <c r="A14" s="4" t="s">
        <v>61</v>
      </c>
      <c r="B14" s="8">
        <v>90</v>
      </c>
      <c r="C14" s="7" t="s">
        <v>60</v>
      </c>
    </row>
    <row r="15" spans="1:6" x14ac:dyDescent="0.75">
      <c r="A15" s="4" t="s">
        <v>62</v>
      </c>
      <c r="B15" s="8">
        <v>22</v>
      </c>
      <c r="C15" s="7" t="s">
        <v>60</v>
      </c>
    </row>
    <row r="16" spans="1:6" x14ac:dyDescent="0.75">
      <c r="A16" s="4" t="s">
        <v>63</v>
      </c>
      <c r="B16" s="8">
        <v>48</v>
      </c>
      <c r="C16" s="7" t="s">
        <v>60</v>
      </c>
    </row>
    <row r="17" spans="1:3" x14ac:dyDescent="0.75">
      <c r="A17" s="4" t="s">
        <v>64</v>
      </c>
      <c r="B17" s="10">
        <v>0.15</v>
      </c>
      <c r="C17" s="7" t="s">
        <v>65</v>
      </c>
    </row>
    <row r="18" spans="1:3" x14ac:dyDescent="0.75">
      <c r="A18" s="4" t="s">
        <v>66</v>
      </c>
      <c r="B18" s="10">
        <v>0.3</v>
      </c>
      <c r="C18" s="7" t="s">
        <v>67</v>
      </c>
    </row>
    <row r="19" spans="1:3" x14ac:dyDescent="0.75">
      <c r="A19" s="4" t="s">
        <v>68</v>
      </c>
      <c r="B19" s="10">
        <v>0.5</v>
      </c>
      <c r="C19" s="7" t="s">
        <v>69</v>
      </c>
    </row>
    <row r="20" spans="1:3" x14ac:dyDescent="0.75">
      <c r="A20" s="4" t="s">
        <v>70</v>
      </c>
      <c r="B20" s="10">
        <v>0.5</v>
      </c>
      <c r="C20" s="7" t="s">
        <v>67</v>
      </c>
    </row>
    <row r="21" spans="1:3" x14ac:dyDescent="0.75">
      <c r="A21" s="4" t="s">
        <v>71</v>
      </c>
      <c r="B21" s="10">
        <v>0.01</v>
      </c>
      <c r="C21" s="7" t="s">
        <v>65</v>
      </c>
    </row>
    <row r="22" spans="1:3" x14ac:dyDescent="0.75">
      <c r="A22" s="4" t="s">
        <v>72</v>
      </c>
      <c r="B22" s="10">
        <v>0.02</v>
      </c>
      <c r="C22" s="7" t="s">
        <v>67</v>
      </c>
    </row>
    <row r="23" spans="1:3" x14ac:dyDescent="0.75">
      <c r="A23" s="4" t="s">
        <v>73</v>
      </c>
      <c r="B23" s="10">
        <v>0.1</v>
      </c>
      <c r="C23" s="7" t="s">
        <v>69</v>
      </c>
    </row>
    <row r="24" spans="1:3" x14ac:dyDescent="0.75">
      <c r="A24" s="4" t="s">
        <v>74</v>
      </c>
      <c r="B24" s="8">
        <v>7600</v>
      </c>
      <c r="C24" s="7" t="s">
        <v>46</v>
      </c>
    </row>
    <row r="25" spans="1:3" x14ac:dyDescent="0.75">
      <c r="A25" s="4" t="s">
        <v>75</v>
      </c>
      <c r="B25" s="6" t="s">
        <v>76</v>
      </c>
      <c r="C25" s="7" t="s">
        <v>77</v>
      </c>
    </row>
    <row r="26" spans="1:3" x14ac:dyDescent="0.75">
      <c r="A26" s="4" t="s">
        <v>78</v>
      </c>
      <c r="B26" s="6" t="s">
        <v>79</v>
      </c>
      <c r="C26" s="7" t="s">
        <v>80</v>
      </c>
    </row>
    <row r="27" spans="1:3" x14ac:dyDescent="0.75">
      <c r="A27" s="4" t="s">
        <v>81</v>
      </c>
      <c r="B27" s="6" t="s">
        <v>82</v>
      </c>
      <c r="C27" s="32" t="s">
        <v>377</v>
      </c>
    </row>
    <row r="28" spans="1:3" x14ac:dyDescent="0.75">
      <c r="A28" s="4" t="s">
        <v>83</v>
      </c>
      <c r="B28" s="6" t="s">
        <v>84</v>
      </c>
      <c r="C28" s="7" t="s">
        <v>85</v>
      </c>
    </row>
    <row r="29" spans="1:3" x14ac:dyDescent="0.75">
      <c r="A29" s="4" t="s">
        <v>86</v>
      </c>
      <c r="B29" s="6" t="s">
        <v>87</v>
      </c>
      <c r="C29" s="32" t="s">
        <v>376</v>
      </c>
    </row>
  </sheetData>
  <dataValidations count="1">
    <dataValidation type="list" sqref="B27" xr:uid="{00000000-0002-0000-0100-000000000000}">
      <formula1>"JetA1_100,HEFA_40,HEFA_100,SynPTL_50"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showGridLines="0" workbookViewId="0">
      <selection activeCell="F16" sqref="F16"/>
    </sheetView>
  </sheetViews>
  <sheetFormatPr defaultRowHeight="14.75" x14ac:dyDescent="0.75"/>
  <cols>
    <col min="1" max="1" width="12" customWidth="1"/>
    <col min="2" max="2" width="18" customWidth="1"/>
    <col min="3" max="3" width="12" customWidth="1"/>
    <col min="4" max="6" width="14" customWidth="1"/>
    <col min="7" max="7" width="15" customWidth="1"/>
    <col min="8" max="8" width="16" customWidth="1"/>
    <col min="9" max="9" width="18" customWidth="1"/>
    <col min="10" max="10" width="14" customWidth="1"/>
    <col min="11" max="11" width="10" customWidth="1"/>
    <col min="12" max="12" width="14" customWidth="1"/>
    <col min="13" max="13" width="12" customWidth="1"/>
    <col min="14" max="14" width="34" customWidth="1"/>
  </cols>
  <sheetData>
    <row r="1" spans="1:14" ht="18.5" x14ac:dyDescent="0.9">
      <c r="A1" s="1" t="s">
        <v>88</v>
      </c>
    </row>
    <row r="5" spans="1:14" ht="29.5" x14ac:dyDescent="0.75">
      <c r="A5" s="11" t="s">
        <v>291</v>
      </c>
      <c r="B5" s="11" t="s">
        <v>316</v>
      </c>
      <c r="C5" s="11" t="s">
        <v>382</v>
      </c>
      <c r="D5" s="11" t="s">
        <v>383</v>
      </c>
      <c r="E5" s="11" t="s">
        <v>384</v>
      </c>
      <c r="F5" s="11" t="s">
        <v>293</v>
      </c>
      <c r="G5" s="11" t="s">
        <v>385</v>
      </c>
      <c r="H5" s="11" t="s">
        <v>386</v>
      </c>
      <c r="I5" s="11" t="s">
        <v>387</v>
      </c>
      <c r="J5" s="11" t="s">
        <v>388</v>
      </c>
      <c r="K5" s="11" t="s">
        <v>389</v>
      </c>
      <c r="L5" s="11" t="s">
        <v>390</v>
      </c>
      <c r="M5" s="11" t="s">
        <v>296</v>
      </c>
      <c r="N5" s="11" t="s">
        <v>90</v>
      </c>
    </row>
    <row r="6" spans="1:14" x14ac:dyDescent="0.75">
      <c r="A6" s="12" t="s">
        <v>91</v>
      </c>
      <c r="B6" s="12" t="s">
        <v>92</v>
      </c>
      <c r="C6" s="12" t="s">
        <v>93</v>
      </c>
      <c r="D6" s="13">
        <v>2871</v>
      </c>
      <c r="E6" s="14">
        <v>0.26100000000000001</v>
      </c>
      <c r="F6" s="15">
        <f>IF(C6="N",0,IF(D6&lt;&gt;"",D6,E6*'Aircraft Input'!$B$7))</f>
        <v>2871</v>
      </c>
      <c r="G6" s="12" t="s">
        <v>94</v>
      </c>
      <c r="H6" s="12" t="s">
        <v>95</v>
      </c>
      <c r="I6" s="12" t="s">
        <v>96</v>
      </c>
      <c r="J6" s="13">
        <v>50</v>
      </c>
      <c r="K6" s="13">
        <v>0</v>
      </c>
      <c r="L6" s="13">
        <v>50</v>
      </c>
      <c r="M6" s="12" t="s">
        <v>97</v>
      </c>
      <c r="N6" s="12" t="s">
        <v>98</v>
      </c>
    </row>
    <row r="7" spans="1:14" x14ac:dyDescent="0.75">
      <c r="A7" s="12" t="s">
        <v>99</v>
      </c>
      <c r="B7" s="12" t="s">
        <v>100</v>
      </c>
      <c r="C7" s="12" t="s">
        <v>93</v>
      </c>
      <c r="D7" s="13">
        <v>3970</v>
      </c>
      <c r="E7" s="14">
        <v>0.3609090909090909</v>
      </c>
      <c r="F7" s="15">
        <f>IF(C7="N",0,IF(D7&lt;&gt;"",D7,E7*'Aircraft Input'!$B$7))</f>
        <v>3970</v>
      </c>
      <c r="G7" s="12" t="s">
        <v>94</v>
      </c>
      <c r="H7" s="12" t="s">
        <v>95</v>
      </c>
      <c r="I7" s="12" t="s">
        <v>101</v>
      </c>
      <c r="J7" s="13">
        <v>150</v>
      </c>
      <c r="K7" s="13">
        <v>1000</v>
      </c>
      <c r="L7" s="13">
        <v>100</v>
      </c>
      <c r="M7" s="12" t="s">
        <v>97</v>
      </c>
      <c r="N7" s="12" t="s">
        <v>102</v>
      </c>
    </row>
    <row r="8" spans="1:14" x14ac:dyDescent="0.75">
      <c r="A8" s="12" t="s">
        <v>103</v>
      </c>
      <c r="B8" s="12" t="s">
        <v>104</v>
      </c>
      <c r="C8" s="12" t="s">
        <v>93</v>
      </c>
      <c r="D8" s="13">
        <v>660</v>
      </c>
      <c r="E8" s="14">
        <v>0.06</v>
      </c>
      <c r="F8" s="15">
        <f>IF(C8="N",0,IF(D8&lt;&gt;"",D8,E8*'Aircraft Input'!$B$7))</f>
        <v>660</v>
      </c>
      <c r="G8" s="12" t="s">
        <v>94</v>
      </c>
      <c r="H8" s="12" t="s">
        <v>95</v>
      </c>
      <c r="I8" s="12" t="s">
        <v>105</v>
      </c>
      <c r="J8" s="13">
        <v>100</v>
      </c>
      <c r="K8" s="13">
        <v>600</v>
      </c>
      <c r="L8" s="13">
        <v>80</v>
      </c>
      <c r="M8" s="12" t="s">
        <v>106</v>
      </c>
      <c r="N8" s="12" t="s">
        <v>107</v>
      </c>
    </row>
    <row r="9" spans="1:14" x14ac:dyDescent="0.75">
      <c r="A9" s="12" t="s">
        <v>108</v>
      </c>
      <c r="B9" s="12" t="s">
        <v>109</v>
      </c>
      <c r="C9" s="12" t="s">
        <v>93</v>
      </c>
      <c r="D9" s="13">
        <v>2000</v>
      </c>
      <c r="E9" s="14">
        <v>0.1818181818181818</v>
      </c>
      <c r="F9" s="15">
        <f>IF(C9="N",0,IF(D9&lt;&gt;"",D9,E9*'Aircraft Input'!$B$7))</f>
        <v>2000</v>
      </c>
      <c r="G9" s="12" t="s">
        <v>109</v>
      </c>
      <c r="H9" s="12" t="s">
        <v>93</v>
      </c>
      <c r="I9" s="12" t="s">
        <v>110</v>
      </c>
      <c r="J9" s="13">
        <v>180</v>
      </c>
      <c r="K9" s="13">
        <v>800</v>
      </c>
      <c r="L9" s="13">
        <v>100</v>
      </c>
      <c r="M9" s="12" t="s">
        <v>97</v>
      </c>
      <c r="N9" s="12" t="s">
        <v>111</v>
      </c>
    </row>
    <row r="10" spans="1:14" ht="29.5" x14ac:dyDescent="0.75">
      <c r="A10" s="12" t="s">
        <v>112</v>
      </c>
      <c r="B10" s="12" t="s">
        <v>391</v>
      </c>
      <c r="C10" s="12" t="s">
        <v>93</v>
      </c>
      <c r="D10" s="13">
        <v>1242</v>
      </c>
      <c r="E10" s="14">
        <v>0.1129090909090909</v>
      </c>
      <c r="F10" s="15">
        <f>IF(C10="N",0,IF(D10&lt;&gt;"",D10,E10*'Aircraft Input'!$B$7))</f>
        <v>1242</v>
      </c>
      <c r="G10" s="12" t="s">
        <v>113</v>
      </c>
      <c r="H10" s="12" t="s">
        <v>95</v>
      </c>
      <c r="I10" s="12" t="s">
        <v>114</v>
      </c>
      <c r="J10" s="13">
        <v>200</v>
      </c>
      <c r="K10" s="13">
        <v>700</v>
      </c>
      <c r="L10" s="13">
        <v>100</v>
      </c>
      <c r="M10" s="12" t="s">
        <v>106</v>
      </c>
      <c r="N10" s="16" t="s">
        <v>115</v>
      </c>
    </row>
    <row r="11" spans="1:14" x14ac:dyDescent="0.75">
      <c r="A11" s="12" t="s">
        <v>116</v>
      </c>
      <c r="B11" s="12" t="s">
        <v>392</v>
      </c>
      <c r="C11" s="12" t="s">
        <v>93</v>
      </c>
      <c r="D11" s="13">
        <v>257</v>
      </c>
      <c r="E11" s="14">
        <v>2.3363636363636361E-2</v>
      </c>
      <c r="F11" s="15">
        <f>IF(C11="N",0,IF(D11&lt;&gt;"",D11,E11*'Aircraft Input'!$B$7))</f>
        <v>257</v>
      </c>
      <c r="G11" s="12" t="s">
        <v>117</v>
      </c>
      <c r="H11" s="12" t="s">
        <v>95</v>
      </c>
      <c r="I11" s="33" t="s">
        <v>381</v>
      </c>
      <c r="J11" s="13">
        <v>100</v>
      </c>
      <c r="K11" s="13">
        <v>200</v>
      </c>
      <c r="L11" s="13">
        <v>50</v>
      </c>
      <c r="M11" s="12" t="s">
        <v>118</v>
      </c>
      <c r="N11" s="12" t="s">
        <v>119</v>
      </c>
    </row>
    <row r="13" spans="1:14" x14ac:dyDescent="0.75">
      <c r="A13" s="4" t="s">
        <v>120</v>
      </c>
      <c r="E13" s="17">
        <f>SUM(E6:E11)</f>
        <v>1</v>
      </c>
      <c r="F13" s="18">
        <f>SUM(F6:F11)</f>
        <v>11000</v>
      </c>
    </row>
  </sheetData>
  <dataValidations count="2">
    <dataValidation type="list" sqref="C6:C11 H6:H53" xr:uid="{00000000-0002-0000-0200-000000000000}">
      <formula1>"Y,N"</formula1>
    </dataValidation>
    <dataValidation type="list" sqref="F6:F53 M6:M11" xr:uid="{00000000-0002-0000-0200-000001000000}">
      <formula1>"Measured,Estimated,Proxy,Assumed"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"/>
  <sheetViews>
    <sheetView showGridLines="0" workbookViewId="0">
      <selection activeCell="F3" sqref="F3"/>
    </sheetView>
  </sheetViews>
  <sheetFormatPr defaultRowHeight="14.75" x14ac:dyDescent="0.75"/>
  <cols>
    <col min="1" max="1" width="12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42" customWidth="1"/>
    <col min="8" max="8" width="12" customWidth="1"/>
    <col min="10" max="11" width="12" customWidth="1"/>
    <col min="12" max="12" width="14" customWidth="1"/>
  </cols>
  <sheetData>
    <row r="1" spans="1:12" ht="18.5" x14ac:dyDescent="0.9">
      <c r="A1" s="1" t="s">
        <v>17</v>
      </c>
    </row>
    <row r="5" spans="1:12" ht="29.5" x14ac:dyDescent="0.75">
      <c r="A5" s="11" t="s">
        <v>291</v>
      </c>
      <c r="B5" s="11" t="s">
        <v>121</v>
      </c>
      <c r="C5" s="11" t="s">
        <v>292</v>
      </c>
      <c r="D5" s="11" t="s">
        <v>393</v>
      </c>
      <c r="E5" s="11" t="s">
        <v>294</v>
      </c>
      <c r="F5" s="11" t="s">
        <v>296</v>
      </c>
      <c r="G5" s="11" t="s">
        <v>90</v>
      </c>
      <c r="H5" s="11" t="s">
        <v>298</v>
      </c>
      <c r="J5" s="11" t="s">
        <v>122</v>
      </c>
      <c r="K5" s="11" t="s">
        <v>394</v>
      </c>
      <c r="L5" s="11" t="s">
        <v>395</v>
      </c>
    </row>
    <row r="6" spans="1:12" x14ac:dyDescent="0.75">
      <c r="A6" s="12" t="s">
        <v>91</v>
      </c>
      <c r="B6" s="12" t="s">
        <v>123</v>
      </c>
      <c r="C6" s="12" t="s">
        <v>124</v>
      </c>
      <c r="D6" s="14">
        <v>0.81678857540926508</v>
      </c>
      <c r="E6" s="19">
        <f t="shared" ref="E6:E53" si="0">IF(SUMIF($A$6:$A$53,$A6,$D$6:$D$53)=0,0,$D6/SUMIF($A$6:$A$53,$A6,$D$6:$D$53))</f>
        <v>0.81678857540926508</v>
      </c>
      <c r="F6" s="12" t="s">
        <v>97</v>
      </c>
      <c r="G6" s="16" t="s">
        <v>125</v>
      </c>
      <c r="H6" s="12" t="s">
        <v>95</v>
      </c>
      <c r="J6" s="4" t="s">
        <v>91</v>
      </c>
      <c r="K6" s="20">
        <f t="shared" ref="K6:K11" si="1">SUMIF($A$6:$A$53,J6,$D$6:$D$53)</f>
        <v>1</v>
      </c>
      <c r="L6" s="20">
        <f t="shared" ref="L6:L11" si="2">SUMIF($A$6:$A$53,J6,$E$6:$E$53)</f>
        <v>1</v>
      </c>
    </row>
    <row r="7" spans="1:12" x14ac:dyDescent="0.75">
      <c r="A7" s="12" t="s">
        <v>91</v>
      </c>
      <c r="B7" s="12" t="s">
        <v>126</v>
      </c>
      <c r="C7" s="12" t="s">
        <v>124</v>
      </c>
      <c r="D7" s="14">
        <v>0.11424590734935559</v>
      </c>
      <c r="E7" s="19">
        <f t="shared" si="0"/>
        <v>0.11424590734935559</v>
      </c>
      <c r="F7" s="12" t="s">
        <v>97</v>
      </c>
      <c r="G7" s="16" t="s">
        <v>125</v>
      </c>
      <c r="H7" s="12" t="s">
        <v>95</v>
      </c>
      <c r="J7" s="4" t="s">
        <v>99</v>
      </c>
      <c r="K7" s="20">
        <f t="shared" si="1"/>
        <v>1</v>
      </c>
      <c r="L7" s="20">
        <f t="shared" si="2"/>
        <v>1</v>
      </c>
    </row>
    <row r="8" spans="1:12" x14ac:dyDescent="0.75">
      <c r="A8" s="12" t="s">
        <v>91</v>
      </c>
      <c r="B8" s="12" t="s">
        <v>127</v>
      </c>
      <c r="C8" s="12" t="s">
        <v>128</v>
      </c>
      <c r="D8" s="14">
        <v>2.8039010797631492E-2</v>
      </c>
      <c r="E8" s="19">
        <f t="shared" si="0"/>
        <v>2.8039010797631492E-2</v>
      </c>
      <c r="F8" s="12" t="s">
        <v>97</v>
      </c>
      <c r="G8" s="16" t="s">
        <v>125</v>
      </c>
      <c r="H8" s="12" t="s">
        <v>95</v>
      </c>
      <c r="J8" s="4" t="s">
        <v>103</v>
      </c>
      <c r="K8" s="20">
        <f t="shared" si="1"/>
        <v>1</v>
      </c>
      <c r="L8" s="20">
        <f t="shared" si="2"/>
        <v>1</v>
      </c>
    </row>
    <row r="9" spans="1:12" x14ac:dyDescent="0.75">
      <c r="A9" s="12" t="s">
        <v>91</v>
      </c>
      <c r="B9" s="12" t="s">
        <v>129</v>
      </c>
      <c r="C9" s="12" t="s">
        <v>128</v>
      </c>
      <c r="D9" s="14">
        <v>0</v>
      </c>
      <c r="E9" s="19">
        <f t="shared" si="0"/>
        <v>0</v>
      </c>
      <c r="F9" s="12" t="s">
        <v>97</v>
      </c>
      <c r="G9" s="16" t="s">
        <v>125</v>
      </c>
      <c r="H9" s="12" t="s">
        <v>95</v>
      </c>
      <c r="J9" s="4" t="s">
        <v>108</v>
      </c>
      <c r="K9" s="20">
        <f t="shared" si="1"/>
        <v>1.0000000000000002</v>
      </c>
      <c r="L9" s="20">
        <f t="shared" si="2"/>
        <v>1</v>
      </c>
    </row>
    <row r="10" spans="1:12" x14ac:dyDescent="0.75">
      <c r="A10" s="12" t="s">
        <v>91</v>
      </c>
      <c r="B10" s="12" t="s">
        <v>130</v>
      </c>
      <c r="C10" s="12" t="s">
        <v>128</v>
      </c>
      <c r="D10" s="14">
        <v>0</v>
      </c>
      <c r="E10" s="19">
        <f t="shared" si="0"/>
        <v>0</v>
      </c>
      <c r="F10" s="12" t="s">
        <v>97</v>
      </c>
      <c r="G10" s="16" t="s">
        <v>125</v>
      </c>
      <c r="H10" s="12" t="s">
        <v>95</v>
      </c>
      <c r="J10" s="4" t="s">
        <v>112</v>
      </c>
      <c r="K10" s="20">
        <f t="shared" si="1"/>
        <v>1</v>
      </c>
      <c r="L10" s="20">
        <f t="shared" si="2"/>
        <v>1</v>
      </c>
    </row>
    <row r="11" spans="1:12" x14ac:dyDescent="0.75">
      <c r="A11" s="12" t="s">
        <v>91</v>
      </c>
      <c r="B11" s="12" t="s">
        <v>131</v>
      </c>
      <c r="C11" s="12" t="s">
        <v>128</v>
      </c>
      <c r="D11" s="14">
        <v>2.8039010797631492E-2</v>
      </c>
      <c r="E11" s="19">
        <f t="shared" si="0"/>
        <v>2.8039010797631492E-2</v>
      </c>
      <c r="F11" s="12" t="s">
        <v>97</v>
      </c>
      <c r="G11" s="16" t="s">
        <v>125</v>
      </c>
      <c r="H11" s="12" t="s">
        <v>95</v>
      </c>
      <c r="J11" s="4" t="s">
        <v>116</v>
      </c>
      <c r="K11" s="20">
        <f t="shared" si="1"/>
        <v>1</v>
      </c>
      <c r="L11" s="20">
        <f t="shared" si="2"/>
        <v>1</v>
      </c>
    </row>
    <row r="12" spans="1:12" x14ac:dyDescent="0.75">
      <c r="A12" s="12" t="s">
        <v>91</v>
      </c>
      <c r="B12" s="12" t="s">
        <v>132</v>
      </c>
      <c r="C12" s="12" t="s">
        <v>132</v>
      </c>
      <c r="D12" s="14">
        <v>0</v>
      </c>
      <c r="E12" s="19">
        <f t="shared" si="0"/>
        <v>0</v>
      </c>
      <c r="F12" s="12" t="s">
        <v>97</v>
      </c>
      <c r="G12" s="16" t="s">
        <v>125</v>
      </c>
      <c r="H12" s="12" t="s">
        <v>95</v>
      </c>
    </row>
    <row r="13" spans="1:12" x14ac:dyDescent="0.75">
      <c r="A13" s="12" t="s">
        <v>91</v>
      </c>
      <c r="B13" s="12" t="s">
        <v>133</v>
      </c>
      <c r="C13" s="12" t="s">
        <v>133</v>
      </c>
      <c r="D13" s="14">
        <v>1.288749564611634E-2</v>
      </c>
      <c r="E13" s="19">
        <f t="shared" si="0"/>
        <v>1.288749564611634E-2</v>
      </c>
      <c r="F13" s="12" t="s">
        <v>97</v>
      </c>
      <c r="G13" s="16" t="s">
        <v>125</v>
      </c>
      <c r="H13" s="12" t="s">
        <v>95</v>
      </c>
    </row>
    <row r="14" spans="1:12" x14ac:dyDescent="0.75">
      <c r="A14" s="12" t="s">
        <v>99</v>
      </c>
      <c r="B14" s="12" t="s">
        <v>123</v>
      </c>
      <c r="C14" s="12" t="s">
        <v>124</v>
      </c>
      <c r="D14" s="14">
        <v>0.72972292191435773</v>
      </c>
      <c r="E14" s="19">
        <f t="shared" si="0"/>
        <v>0.72972292191435773</v>
      </c>
      <c r="F14" s="12" t="s">
        <v>97</v>
      </c>
      <c r="G14" s="12" t="s">
        <v>102</v>
      </c>
      <c r="H14" s="12" t="s">
        <v>95</v>
      </c>
    </row>
    <row r="15" spans="1:12" x14ac:dyDescent="0.75">
      <c r="A15" s="12" t="s">
        <v>99</v>
      </c>
      <c r="B15" s="12" t="s">
        <v>126</v>
      </c>
      <c r="C15" s="12" t="s">
        <v>124</v>
      </c>
      <c r="D15" s="14">
        <v>0.11083123425692699</v>
      </c>
      <c r="E15" s="19">
        <f t="shared" si="0"/>
        <v>0.11083123425692699</v>
      </c>
      <c r="F15" s="12" t="s">
        <v>97</v>
      </c>
      <c r="G15" s="12" t="s">
        <v>102</v>
      </c>
      <c r="H15" s="12" t="s">
        <v>95</v>
      </c>
    </row>
    <row r="16" spans="1:12" x14ac:dyDescent="0.75">
      <c r="A16" s="12" t="s">
        <v>99</v>
      </c>
      <c r="B16" s="12" t="s">
        <v>127</v>
      </c>
      <c r="C16" s="12" t="s">
        <v>128</v>
      </c>
      <c r="D16" s="14">
        <v>0.1216624685138539</v>
      </c>
      <c r="E16" s="19">
        <f t="shared" si="0"/>
        <v>0.1216624685138539</v>
      </c>
      <c r="F16" s="12" t="s">
        <v>97</v>
      </c>
      <c r="G16" s="12" t="s">
        <v>102</v>
      </c>
      <c r="H16" s="12" t="s">
        <v>95</v>
      </c>
    </row>
    <row r="17" spans="1:8" x14ac:dyDescent="0.75">
      <c r="A17" s="12" t="s">
        <v>99</v>
      </c>
      <c r="B17" s="12" t="s">
        <v>129</v>
      </c>
      <c r="C17" s="12" t="s">
        <v>128</v>
      </c>
      <c r="D17" s="14">
        <v>0</v>
      </c>
      <c r="E17" s="19">
        <f t="shared" si="0"/>
        <v>0</v>
      </c>
      <c r="F17" s="12" t="s">
        <v>97</v>
      </c>
      <c r="G17" s="12" t="s">
        <v>102</v>
      </c>
      <c r="H17" s="12" t="s">
        <v>95</v>
      </c>
    </row>
    <row r="18" spans="1:8" x14ac:dyDescent="0.75">
      <c r="A18" s="12" t="s">
        <v>99</v>
      </c>
      <c r="B18" s="12" t="s">
        <v>130</v>
      </c>
      <c r="C18" s="12" t="s">
        <v>128</v>
      </c>
      <c r="D18" s="14">
        <v>0</v>
      </c>
      <c r="E18" s="19">
        <f t="shared" si="0"/>
        <v>0</v>
      </c>
      <c r="F18" s="12" t="s">
        <v>97</v>
      </c>
      <c r="G18" s="12" t="s">
        <v>102</v>
      </c>
      <c r="H18" s="12" t="s">
        <v>95</v>
      </c>
    </row>
    <row r="19" spans="1:8" x14ac:dyDescent="0.75">
      <c r="A19" s="12" t="s">
        <v>99</v>
      </c>
      <c r="B19" s="12" t="s">
        <v>131</v>
      </c>
      <c r="C19" s="12" t="s">
        <v>128</v>
      </c>
      <c r="D19" s="14">
        <v>1.6372795969773299E-2</v>
      </c>
      <c r="E19" s="19">
        <f t="shared" si="0"/>
        <v>1.6372795969773299E-2</v>
      </c>
      <c r="F19" s="12" t="s">
        <v>97</v>
      </c>
      <c r="G19" s="12" t="s">
        <v>102</v>
      </c>
      <c r="H19" s="12" t="s">
        <v>95</v>
      </c>
    </row>
    <row r="20" spans="1:8" x14ac:dyDescent="0.75">
      <c r="A20" s="12" t="s">
        <v>99</v>
      </c>
      <c r="B20" s="12" t="s">
        <v>132</v>
      </c>
      <c r="C20" s="12" t="s">
        <v>132</v>
      </c>
      <c r="D20" s="14">
        <v>0</v>
      </c>
      <c r="E20" s="19">
        <f t="shared" si="0"/>
        <v>0</v>
      </c>
      <c r="F20" s="12" t="s">
        <v>97</v>
      </c>
      <c r="G20" s="12" t="s">
        <v>102</v>
      </c>
      <c r="H20" s="12" t="s">
        <v>95</v>
      </c>
    </row>
    <row r="21" spans="1:8" x14ac:dyDescent="0.75">
      <c r="A21" s="12" t="s">
        <v>99</v>
      </c>
      <c r="B21" s="12" t="s">
        <v>133</v>
      </c>
      <c r="C21" s="12" t="s">
        <v>133</v>
      </c>
      <c r="D21" s="14">
        <v>2.1410579345088158E-2</v>
      </c>
      <c r="E21" s="19">
        <f t="shared" si="0"/>
        <v>2.1410579345088158E-2</v>
      </c>
      <c r="F21" s="12" t="s">
        <v>97</v>
      </c>
      <c r="G21" s="12" t="s">
        <v>102</v>
      </c>
      <c r="H21" s="12" t="s">
        <v>95</v>
      </c>
    </row>
    <row r="22" spans="1:8" x14ac:dyDescent="0.75">
      <c r="A22" s="12" t="s">
        <v>103</v>
      </c>
      <c r="B22" s="12" t="s">
        <v>123</v>
      </c>
      <c r="C22" s="12" t="s">
        <v>124</v>
      </c>
      <c r="D22" s="14">
        <v>0.88787878787878793</v>
      </c>
      <c r="E22" s="19">
        <f t="shared" si="0"/>
        <v>0.88787878787878793</v>
      </c>
      <c r="F22" s="12" t="s">
        <v>106</v>
      </c>
      <c r="G22" s="12" t="s">
        <v>134</v>
      </c>
      <c r="H22" s="12" t="s">
        <v>95</v>
      </c>
    </row>
    <row r="23" spans="1:8" x14ac:dyDescent="0.75">
      <c r="A23" s="12" t="s">
        <v>103</v>
      </c>
      <c r="B23" s="12" t="s">
        <v>126</v>
      </c>
      <c r="C23" s="12" t="s">
        <v>124</v>
      </c>
      <c r="D23" s="14">
        <v>0.1015151515151515</v>
      </c>
      <c r="E23" s="19">
        <f t="shared" si="0"/>
        <v>0.1015151515151515</v>
      </c>
      <c r="F23" s="12" t="s">
        <v>106</v>
      </c>
      <c r="G23" s="12" t="s">
        <v>134</v>
      </c>
      <c r="H23" s="12" t="s">
        <v>95</v>
      </c>
    </row>
    <row r="24" spans="1:8" x14ac:dyDescent="0.75">
      <c r="A24" s="12" t="s">
        <v>103</v>
      </c>
      <c r="B24" s="12" t="s">
        <v>127</v>
      </c>
      <c r="C24" s="12" t="s">
        <v>128</v>
      </c>
      <c r="D24" s="14">
        <v>0</v>
      </c>
      <c r="E24" s="19">
        <f t="shared" si="0"/>
        <v>0</v>
      </c>
      <c r="F24" s="12" t="s">
        <v>106</v>
      </c>
      <c r="G24" s="12" t="s">
        <v>134</v>
      </c>
      <c r="H24" s="12" t="s">
        <v>95</v>
      </c>
    </row>
    <row r="25" spans="1:8" x14ac:dyDescent="0.75">
      <c r="A25" s="12" t="s">
        <v>103</v>
      </c>
      <c r="B25" s="12" t="s">
        <v>129</v>
      </c>
      <c r="C25" s="12" t="s">
        <v>128</v>
      </c>
      <c r="D25" s="14">
        <v>0</v>
      </c>
      <c r="E25" s="19">
        <f t="shared" si="0"/>
        <v>0</v>
      </c>
      <c r="F25" s="12" t="s">
        <v>106</v>
      </c>
      <c r="G25" s="12" t="s">
        <v>134</v>
      </c>
      <c r="H25" s="12" t="s">
        <v>95</v>
      </c>
    </row>
    <row r="26" spans="1:8" x14ac:dyDescent="0.75">
      <c r="A26" s="12" t="s">
        <v>103</v>
      </c>
      <c r="B26" s="12" t="s">
        <v>130</v>
      </c>
      <c r="C26" s="12" t="s">
        <v>128</v>
      </c>
      <c r="D26" s="14">
        <v>0</v>
      </c>
      <c r="E26" s="19">
        <f t="shared" si="0"/>
        <v>0</v>
      </c>
      <c r="F26" s="12" t="s">
        <v>106</v>
      </c>
      <c r="G26" s="12" t="s">
        <v>134</v>
      </c>
      <c r="H26" s="12" t="s">
        <v>95</v>
      </c>
    </row>
    <row r="27" spans="1:8" x14ac:dyDescent="0.75">
      <c r="A27" s="12" t="s">
        <v>103</v>
      </c>
      <c r="B27" s="12" t="s">
        <v>131</v>
      </c>
      <c r="C27" s="12" t="s">
        <v>128</v>
      </c>
      <c r="D27" s="14">
        <v>1.060606060606061E-2</v>
      </c>
      <c r="E27" s="19">
        <f t="shared" si="0"/>
        <v>1.060606060606061E-2</v>
      </c>
      <c r="F27" s="12" t="s">
        <v>106</v>
      </c>
      <c r="G27" s="12" t="s">
        <v>134</v>
      </c>
      <c r="H27" s="12" t="s">
        <v>95</v>
      </c>
    </row>
    <row r="28" spans="1:8" x14ac:dyDescent="0.75">
      <c r="A28" s="12" t="s">
        <v>103</v>
      </c>
      <c r="B28" s="12" t="s">
        <v>132</v>
      </c>
      <c r="C28" s="12" t="s">
        <v>132</v>
      </c>
      <c r="D28" s="14">
        <v>0</v>
      </c>
      <c r="E28" s="19">
        <f t="shared" si="0"/>
        <v>0</v>
      </c>
      <c r="F28" s="12" t="s">
        <v>106</v>
      </c>
      <c r="G28" s="12" t="s">
        <v>134</v>
      </c>
      <c r="H28" s="12" t="s">
        <v>95</v>
      </c>
    </row>
    <row r="29" spans="1:8" x14ac:dyDescent="0.75">
      <c r="A29" s="12" t="s">
        <v>103</v>
      </c>
      <c r="B29" s="12" t="s">
        <v>133</v>
      </c>
      <c r="C29" s="12" t="s">
        <v>133</v>
      </c>
      <c r="D29" s="14">
        <v>0</v>
      </c>
      <c r="E29" s="19">
        <f t="shared" si="0"/>
        <v>0</v>
      </c>
      <c r="F29" s="12" t="s">
        <v>106</v>
      </c>
      <c r="G29" s="12" t="s">
        <v>134</v>
      </c>
      <c r="H29" s="12" t="s">
        <v>95</v>
      </c>
    </row>
    <row r="30" spans="1:8" x14ac:dyDescent="0.75">
      <c r="A30" s="12" t="s">
        <v>108</v>
      </c>
      <c r="B30" s="12" t="s">
        <v>123</v>
      </c>
      <c r="C30" s="12" t="s">
        <v>124</v>
      </c>
      <c r="D30" s="14">
        <v>8.6999999999999994E-3</v>
      </c>
      <c r="E30" s="19">
        <f t="shared" si="0"/>
        <v>8.6999999999999977E-3</v>
      </c>
      <c r="F30" s="12" t="s">
        <v>97</v>
      </c>
      <c r="G30" s="12" t="s">
        <v>111</v>
      </c>
      <c r="H30" s="12" t="s">
        <v>95</v>
      </c>
    </row>
    <row r="31" spans="1:8" x14ac:dyDescent="0.75">
      <c r="A31" s="12" t="s">
        <v>108</v>
      </c>
      <c r="B31" s="12" t="s">
        <v>126</v>
      </c>
      <c r="C31" s="12" t="s">
        <v>124</v>
      </c>
      <c r="D31" s="14">
        <v>0</v>
      </c>
      <c r="E31" s="19">
        <f t="shared" si="0"/>
        <v>0</v>
      </c>
      <c r="F31" s="12" t="s">
        <v>97</v>
      </c>
      <c r="G31" s="12" t="s">
        <v>111</v>
      </c>
      <c r="H31" s="12" t="s">
        <v>95</v>
      </c>
    </row>
    <row r="32" spans="1:8" x14ac:dyDescent="0.75">
      <c r="A32" s="12" t="s">
        <v>108</v>
      </c>
      <c r="B32" s="12" t="s">
        <v>127</v>
      </c>
      <c r="C32" s="12" t="s">
        <v>128</v>
      </c>
      <c r="D32" s="14">
        <v>0.52170000000000005</v>
      </c>
      <c r="E32" s="19">
        <f t="shared" si="0"/>
        <v>0.52169999999999994</v>
      </c>
      <c r="F32" s="12" t="s">
        <v>97</v>
      </c>
      <c r="G32" s="12" t="s">
        <v>111</v>
      </c>
      <c r="H32" s="12" t="s">
        <v>95</v>
      </c>
    </row>
    <row r="33" spans="1:8" x14ac:dyDescent="0.75">
      <c r="A33" s="12" t="s">
        <v>108</v>
      </c>
      <c r="B33" s="12" t="s">
        <v>129</v>
      </c>
      <c r="C33" s="12" t="s">
        <v>128</v>
      </c>
      <c r="D33" s="14">
        <v>0.36530000000000001</v>
      </c>
      <c r="E33" s="19">
        <f t="shared" si="0"/>
        <v>0.36529999999999996</v>
      </c>
      <c r="F33" s="12" t="s">
        <v>97</v>
      </c>
      <c r="G33" s="12" t="s">
        <v>111</v>
      </c>
      <c r="H33" s="12" t="s">
        <v>95</v>
      </c>
    </row>
    <row r="34" spans="1:8" x14ac:dyDescent="0.75">
      <c r="A34" s="12" t="s">
        <v>108</v>
      </c>
      <c r="B34" s="12" t="s">
        <v>130</v>
      </c>
      <c r="C34" s="12" t="s">
        <v>128</v>
      </c>
      <c r="D34" s="14">
        <v>6.9599999999999995E-2</v>
      </c>
      <c r="E34" s="19">
        <f t="shared" si="0"/>
        <v>6.9599999999999981E-2</v>
      </c>
      <c r="F34" s="12" t="s">
        <v>97</v>
      </c>
      <c r="G34" s="12" t="s">
        <v>111</v>
      </c>
      <c r="H34" s="12" t="s">
        <v>95</v>
      </c>
    </row>
    <row r="35" spans="1:8" x14ac:dyDescent="0.75">
      <c r="A35" s="12" t="s">
        <v>108</v>
      </c>
      <c r="B35" s="12" t="s">
        <v>131</v>
      </c>
      <c r="C35" s="12" t="s">
        <v>128</v>
      </c>
      <c r="D35" s="14">
        <v>0</v>
      </c>
      <c r="E35" s="19">
        <f t="shared" si="0"/>
        <v>0</v>
      </c>
      <c r="F35" s="12" t="s">
        <v>97</v>
      </c>
      <c r="G35" s="12" t="s">
        <v>111</v>
      </c>
      <c r="H35" s="12" t="s">
        <v>95</v>
      </c>
    </row>
    <row r="36" spans="1:8" x14ac:dyDescent="0.75">
      <c r="A36" s="12" t="s">
        <v>108</v>
      </c>
      <c r="B36" s="12" t="s">
        <v>132</v>
      </c>
      <c r="C36" s="12" t="s">
        <v>132</v>
      </c>
      <c r="D36" s="14">
        <v>1.2999999999999999E-2</v>
      </c>
      <c r="E36" s="19">
        <f t="shared" si="0"/>
        <v>1.2999999999999996E-2</v>
      </c>
      <c r="F36" s="12" t="s">
        <v>97</v>
      </c>
      <c r="G36" s="12" t="s">
        <v>111</v>
      </c>
      <c r="H36" s="12" t="s">
        <v>95</v>
      </c>
    </row>
    <row r="37" spans="1:8" x14ac:dyDescent="0.75">
      <c r="A37" s="12" t="s">
        <v>108</v>
      </c>
      <c r="B37" s="12" t="s">
        <v>133</v>
      </c>
      <c r="C37" s="12" t="s">
        <v>133</v>
      </c>
      <c r="D37" s="14">
        <v>2.1700000000000001E-2</v>
      </c>
      <c r="E37" s="19">
        <f t="shared" si="0"/>
        <v>2.1699999999999997E-2</v>
      </c>
      <c r="F37" s="12" t="s">
        <v>97</v>
      </c>
      <c r="G37" s="12" t="s">
        <v>111</v>
      </c>
      <c r="H37" s="12" t="s">
        <v>95</v>
      </c>
    </row>
    <row r="38" spans="1:8" x14ac:dyDescent="0.75">
      <c r="A38" s="12" t="s">
        <v>112</v>
      </c>
      <c r="B38" s="12" t="s">
        <v>123</v>
      </c>
      <c r="C38" s="12" t="s">
        <v>124</v>
      </c>
      <c r="D38" s="14">
        <v>0.6280193236714976</v>
      </c>
      <c r="E38" s="19">
        <f t="shared" si="0"/>
        <v>0.6280193236714976</v>
      </c>
      <c r="F38" s="12" t="s">
        <v>106</v>
      </c>
      <c r="G38" s="12" t="s">
        <v>135</v>
      </c>
      <c r="H38" s="12" t="s">
        <v>95</v>
      </c>
    </row>
    <row r="39" spans="1:8" x14ac:dyDescent="0.75">
      <c r="A39" s="12" t="s">
        <v>112</v>
      </c>
      <c r="B39" s="12" t="s">
        <v>126</v>
      </c>
      <c r="C39" s="12" t="s">
        <v>124</v>
      </c>
      <c r="D39" s="14">
        <v>0</v>
      </c>
      <c r="E39" s="19">
        <f t="shared" si="0"/>
        <v>0</v>
      </c>
      <c r="F39" s="12" t="s">
        <v>106</v>
      </c>
      <c r="G39" s="12" t="s">
        <v>135</v>
      </c>
      <c r="H39" s="12" t="s">
        <v>95</v>
      </c>
    </row>
    <row r="40" spans="1:8" x14ac:dyDescent="0.75">
      <c r="A40" s="12" t="s">
        <v>112</v>
      </c>
      <c r="B40" s="12" t="s">
        <v>127</v>
      </c>
      <c r="C40" s="12" t="s">
        <v>128</v>
      </c>
      <c r="D40" s="14">
        <v>6.0386473429951688E-2</v>
      </c>
      <c r="E40" s="19">
        <f t="shared" si="0"/>
        <v>6.0386473429951688E-2</v>
      </c>
      <c r="F40" s="12" t="s">
        <v>106</v>
      </c>
      <c r="G40" s="12" t="s">
        <v>135</v>
      </c>
      <c r="H40" s="12" t="s">
        <v>95</v>
      </c>
    </row>
    <row r="41" spans="1:8" x14ac:dyDescent="0.75">
      <c r="A41" s="12" t="s">
        <v>112</v>
      </c>
      <c r="B41" s="12" t="s">
        <v>129</v>
      </c>
      <c r="C41" s="12" t="s">
        <v>128</v>
      </c>
      <c r="D41" s="14">
        <v>0</v>
      </c>
      <c r="E41" s="19">
        <f t="shared" si="0"/>
        <v>0</v>
      </c>
      <c r="F41" s="12" t="s">
        <v>106</v>
      </c>
      <c r="G41" s="12" t="s">
        <v>135</v>
      </c>
      <c r="H41" s="12" t="s">
        <v>95</v>
      </c>
    </row>
    <row r="42" spans="1:8" x14ac:dyDescent="0.75">
      <c r="A42" s="12" t="s">
        <v>112</v>
      </c>
      <c r="B42" s="12" t="s">
        <v>130</v>
      </c>
      <c r="C42" s="12" t="s">
        <v>128</v>
      </c>
      <c r="D42" s="14">
        <v>0.27294685990338158</v>
      </c>
      <c r="E42" s="19">
        <f t="shared" si="0"/>
        <v>0.27294685990338158</v>
      </c>
      <c r="F42" s="12" t="s">
        <v>106</v>
      </c>
      <c r="G42" s="12" t="s">
        <v>135</v>
      </c>
      <c r="H42" s="12" t="s">
        <v>95</v>
      </c>
    </row>
    <row r="43" spans="1:8" x14ac:dyDescent="0.75">
      <c r="A43" s="12" t="s">
        <v>112</v>
      </c>
      <c r="B43" s="12" t="s">
        <v>131</v>
      </c>
      <c r="C43" s="12" t="s">
        <v>128</v>
      </c>
      <c r="D43" s="14">
        <v>3.864734299516908E-2</v>
      </c>
      <c r="E43" s="19">
        <f t="shared" si="0"/>
        <v>3.864734299516908E-2</v>
      </c>
      <c r="F43" s="12" t="s">
        <v>106</v>
      </c>
      <c r="G43" s="12" t="s">
        <v>135</v>
      </c>
      <c r="H43" s="12" t="s">
        <v>95</v>
      </c>
    </row>
    <row r="44" spans="1:8" x14ac:dyDescent="0.75">
      <c r="A44" s="12" t="s">
        <v>112</v>
      </c>
      <c r="B44" s="12" t="s">
        <v>132</v>
      </c>
      <c r="C44" s="12" t="s">
        <v>132</v>
      </c>
      <c r="D44" s="14">
        <v>0</v>
      </c>
      <c r="E44" s="19">
        <f t="shared" si="0"/>
        <v>0</v>
      </c>
      <c r="F44" s="12" t="s">
        <v>106</v>
      </c>
      <c r="G44" s="12" t="s">
        <v>135</v>
      </c>
      <c r="H44" s="12" t="s">
        <v>95</v>
      </c>
    </row>
    <row r="45" spans="1:8" x14ac:dyDescent="0.75">
      <c r="A45" s="12" t="s">
        <v>112</v>
      </c>
      <c r="B45" s="12" t="s">
        <v>133</v>
      </c>
      <c r="C45" s="12" t="s">
        <v>133</v>
      </c>
      <c r="D45" s="14">
        <v>0</v>
      </c>
      <c r="E45" s="19">
        <f t="shared" si="0"/>
        <v>0</v>
      </c>
      <c r="F45" s="12" t="s">
        <v>106</v>
      </c>
      <c r="G45" s="12" t="s">
        <v>135</v>
      </c>
      <c r="H45" s="12" t="s">
        <v>95</v>
      </c>
    </row>
    <row r="46" spans="1:8" x14ac:dyDescent="0.75">
      <c r="A46" s="12" t="s">
        <v>116</v>
      </c>
      <c r="B46" s="12" t="s">
        <v>123</v>
      </c>
      <c r="C46" s="12" t="s">
        <v>124</v>
      </c>
      <c r="D46" s="14">
        <v>0.1</v>
      </c>
      <c r="E46" s="19">
        <f t="shared" si="0"/>
        <v>0.1</v>
      </c>
      <c r="F46" s="12" t="s">
        <v>118</v>
      </c>
      <c r="G46" s="12" t="s">
        <v>136</v>
      </c>
      <c r="H46" s="12" t="s">
        <v>95</v>
      </c>
    </row>
    <row r="47" spans="1:8" x14ac:dyDescent="0.75">
      <c r="A47" s="12" t="s">
        <v>116</v>
      </c>
      <c r="B47" s="12" t="s">
        <v>126</v>
      </c>
      <c r="C47" s="12" t="s">
        <v>124</v>
      </c>
      <c r="D47" s="14">
        <v>0</v>
      </c>
      <c r="E47" s="19">
        <f t="shared" si="0"/>
        <v>0</v>
      </c>
      <c r="F47" s="12" t="s">
        <v>118</v>
      </c>
      <c r="G47" s="12" t="s">
        <v>136</v>
      </c>
      <c r="H47" s="12" t="s">
        <v>95</v>
      </c>
    </row>
    <row r="48" spans="1:8" x14ac:dyDescent="0.75">
      <c r="A48" s="12" t="s">
        <v>116</v>
      </c>
      <c r="B48" s="12" t="s">
        <v>127</v>
      </c>
      <c r="C48" s="12" t="s">
        <v>128</v>
      </c>
      <c r="D48" s="14">
        <v>0</v>
      </c>
      <c r="E48" s="19">
        <f t="shared" si="0"/>
        <v>0</v>
      </c>
      <c r="F48" s="12" t="s">
        <v>118</v>
      </c>
      <c r="G48" s="12" t="s">
        <v>136</v>
      </c>
      <c r="H48" s="12" t="s">
        <v>95</v>
      </c>
    </row>
    <row r="49" spans="1:8" x14ac:dyDescent="0.75">
      <c r="A49" s="12" t="s">
        <v>116</v>
      </c>
      <c r="B49" s="12" t="s">
        <v>129</v>
      </c>
      <c r="C49" s="12" t="s">
        <v>128</v>
      </c>
      <c r="D49" s="14">
        <v>0</v>
      </c>
      <c r="E49" s="19">
        <f t="shared" si="0"/>
        <v>0</v>
      </c>
      <c r="F49" s="12" t="s">
        <v>118</v>
      </c>
      <c r="G49" s="12" t="s">
        <v>136</v>
      </c>
      <c r="H49" s="12" t="s">
        <v>95</v>
      </c>
    </row>
    <row r="50" spans="1:8" x14ac:dyDescent="0.75">
      <c r="A50" s="12" t="s">
        <v>116</v>
      </c>
      <c r="B50" s="12" t="s">
        <v>130</v>
      </c>
      <c r="C50" s="12" t="s">
        <v>128</v>
      </c>
      <c r="D50" s="14">
        <v>0.2</v>
      </c>
      <c r="E50" s="19">
        <f t="shared" si="0"/>
        <v>0.2</v>
      </c>
      <c r="F50" s="12" t="s">
        <v>118</v>
      </c>
      <c r="G50" s="12" t="s">
        <v>136</v>
      </c>
      <c r="H50" s="12" t="s">
        <v>95</v>
      </c>
    </row>
    <row r="51" spans="1:8" x14ac:dyDescent="0.75">
      <c r="A51" s="12" t="s">
        <v>116</v>
      </c>
      <c r="B51" s="12" t="s">
        <v>131</v>
      </c>
      <c r="C51" s="12" t="s">
        <v>128</v>
      </c>
      <c r="D51" s="14">
        <v>0.1</v>
      </c>
      <c r="E51" s="19">
        <f t="shared" si="0"/>
        <v>0.1</v>
      </c>
      <c r="F51" s="12" t="s">
        <v>118</v>
      </c>
      <c r="G51" s="12" t="s">
        <v>136</v>
      </c>
      <c r="H51" s="12" t="s">
        <v>95</v>
      </c>
    </row>
    <row r="52" spans="1:8" x14ac:dyDescent="0.75">
      <c r="A52" s="12" t="s">
        <v>116</v>
      </c>
      <c r="B52" s="12" t="s">
        <v>132</v>
      </c>
      <c r="C52" s="12" t="s">
        <v>132</v>
      </c>
      <c r="D52" s="14">
        <v>0.5</v>
      </c>
      <c r="E52" s="19">
        <f t="shared" si="0"/>
        <v>0.5</v>
      </c>
      <c r="F52" s="12" t="s">
        <v>118</v>
      </c>
      <c r="G52" s="12" t="s">
        <v>136</v>
      </c>
      <c r="H52" s="12" t="s">
        <v>95</v>
      </c>
    </row>
    <row r="53" spans="1:8" x14ac:dyDescent="0.75">
      <c r="A53" s="12" t="s">
        <v>116</v>
      </c>
      <c r="B53" s="12" t="s">
        <v>133</v>
      </c>
      <c r="C53" s="12" t="s">
        <v>133</v>
      </c>
      <c r="D53" s="14">
        <v>0.1</v>
      </c>
      <c r="E53" s="19">
        <f t="shared" si="0"/>
        <v>0.1</v>
      </c>
      <c r="F53" s="12" t="s">
        <v>118</v>
      </c>
      <c r="G53" s="12" t="s">
        <v>136</v>
      </c>
      <c r="H53" s="12" t="s">
        <v>95</v>
      </c>
    </row>
  </sheetData>
  <dataValidations count="2">
    <dataValidation type="list" sqref="F6:F53 M6:M11" xr:uid="{00000000-0002-0000-0300-000000000000}">
      <formula1>"Measured,Estimated,Proxy,Assumed"</formula1>
    </dataValidation>
    <dataValidation type="list" sqref="C6:C11 H6:H11 H6:H53" xr:uid="{00000000-0002-0000-0300-000001000000}">
      <formula1>"Y,N"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17"/>
  <sheetViews>
    <sheetView showGridLines="0" workbookViewId="0">
      <selection activeCell="E11" sqref="E11"/>
    </sheetView>
  </sheetViews>
  <sheetFormatPr defaultRowHeight="14.75" x14ac:dyDescent="0.75"/>
  <cols>
    <col min="1" max="1" width="18" customWidth="1"/>
    <col min="2" max="2" width="14.40625" customWidth="1"/>
    <col min="3" max="4" width="18" customWidth="1"/>
    <col min="5" max="20" width="10" customWidth="1"/>
    <col min="21" max="21" width="42" customWidth="1"/>
    <col min="24" max="25" width="16" customWidth="1"/>
    <col min="26" max="26" width="12" customWidth="1"/>
    <col min="44" max="44" width="18" customWidth="1"/>
    <col min="45" max="52" width="12" customWidth="1"/>
    <col min="55" max="55" width="16" customWidth="1"/>
    <col min="56" max="63" width="12" customWidth="1"/>
  </cols>
  <sheetData>
    <row r="1" spans="1:64" ht="18.5" x14ac:dyDescent="0.9">
      <c r="A1" s="1" t="s">
        <v>137</v>
      </c>
    </row>
    <row r="4" spans="1:64" x14ac:dyDescent="0.75">
      <c r="A4" s="2" t="s">
        <v>138</v>
      </c>
    </row>
    <row r="5" spans="1:64" ht="29.5" x14ac:dyDescent="0.75">
      <c r="A5" s="34" t="s">
        <v>396</v>
      </c>
      <c r="B5" s="34" t="s">
        <v>397</v>
      </c>
      <c r="C5" s="34" t="s">
        <v>398</v>
      </c>
      <c r="D5" s="34" t="s">
        <v>399</v>
      </c>
      <c r="E5" s="34" t="s">
        <v>400</v>
      </c>
      <c r="F5" s="34" t="s">
        <v>401</v>
      </c>
      <c r="G5" s="34" t="s">
        <v>402</v>
      </c>
      <c r="H5" s="11" t="s">
        <v>139</v>
      </c>
      <c r="I5" s="11" t="s">
        <v>404</v>
      </c>
      <c r="J5" s="11" t="s">
        <v>405</v>
      </c>
      <c r="K5" s="11" t="s">
        <v>406</v>
      </c>
      <c r="L5" s="11" t="s">
        <v>407</v>
      </c>
      <c r="M5" s="11" t="s">
        <v>408</v>
      </c>
      <c r="N5" s="11" t="s">
        <v>409</v>
      </c>
      <c r="O5" s="11" t="s">
        <v>410</v>
      </c>
      <c r="P5" s="11" t="s">
        <v>411</v>
      </c>
      <c r="Q5" s="11" t="s">
        <v>412</v>
      </c>
      <c r="R5" s="11" t="s">
        <v>413</v>
      </c>
      <c r="S5" s="11" t="s">
        <v>414</v>
      </c>
      <c r="T5" s="11" t="s">
        <v>415</v>
      </c>
      <c r="U5" s="11" t="s">
        <v>10</v>
      </c>
      <c r="X5" s="11" t="s">
        <v>416</v>
      </c>
      <c r="Y5" s="11" t="s">
        <v>396</v>
      </c>
      <c r="Z5" s="11" t="s">
        <v>417</v>
      </c>
      <c r="AA5" s="11" t="s">
        <v>397</v>
      </c>
      <c r="AB5" s="11" t="s">
        <v>400</v>
      </c>
      <c r="AC5" s="11" t="s">
        <v>401</v>
      </c>
      <c r="AD5" s="11" t="s">
        <v>402</v>
      </c>
      <c r="AE5" s="11" t="s">
        <v>403</v>
      </c>
      <c r="AF5" s="11" t="s">
        <v>404</v>
      </c>
      <c r="AG5" s="11" t="s">
        <v>405</v>
      </c>
      <c r="AH5" s="11" t="s">
        <v>406</v>
      </c>
      <c r="AI5" s="11" t="s">
        <v>407</v>
      </c>
      <c r="AJ5" s="11" t="s">
        <v>408</v>
      </c>
      <c r="AK5" s="11" t="s">
        <v>409</v>
      </c>
      <c r="AL5" s="11" t="s">
        <v>410</v>
      </c>
      <c r="AM5" s="11" t="s">
        <v>411</v>
      </c>
      <c r="AN5" s="11" t="s">
        <v>412</v>
      </c>
      <c r="AO5" s="11" t="s">
        <v>413</v>
      </c>
      <c r="AP5" s="11" t="s">
        <v>414</v>
      </c>
      <c r="AQ5" s="11" t="s">
        <v>415</v>
      </c>
      <c r="AR5" s="11" t="s">
        <v>418</v>
      </c>
      <c r="AS5" s="11" t="s">
        <v>419</v>
      </c>
      <c r="AT5" s="11" t="s">
        <v>420</v>
      </c>
      <c r="AU5" s="11" t="s">
        <v>421</v>
      </c>
      <c r="AV5" s="11" t="s">
        <v>422</v>
      </c>
      <c r="AW5" s="11" t="s">
        <v>423</v>
      </c>
      <c r="AX5" s="11" t="s">
        <v>424</v>
      </c>
      <c r="AY5" s="11" t="s">
        <v>425</v>
      </c>
      <c r="AZ5" s="11" t="s">
        <v>426</v>
      </c>
      <c r="BC5" s="11" t="s">
        <v>416</v>
      </c>
      <c r="BD5" s="11" t="s">
        <v>427</v>
      </c>
      <c r="BE5" s="11" t="s">
        <v>140</v>
      </c>
      <c r="BF5" s="11" t="s">
        <v>141</v>
      </c>
      <c r="BG5" s="11" t="s">
        <v>142</v>
      </c>
      <c r="BH5" s="11" t="s">
        <v>143</v>
      </c>
      <c r="BI5" s="11" t="s">
        <v>144</v>
      </c>
      <c r="BJ5" s="11" t="s">
        <v>145</v>
      </c>
      <c r="BK5" s="11" t="s">
        <v>428</v>
      </c>
      <c r="BL5" s="11" t="s">
        <v>147</v>
      </c>
    </row>
    <row r="6" spans="1:64" ht="29.5" x14ac:dyDescent="0.75">
      <c r="A6" s="12" t="s">
        <v>148</v>
      </c>
      <c r="B6" s="21">
        <v>0.8</v>
      </c>
      <c r="C6" s="12" t="s">
        <v>149</v>
      </c>
      <c r="D6" s="12" t="s">
        <v>150</v>
      </c>
      <c r="E6" s="22">
        <f>IFERROR(VLOOKUP($C6,'OpenLCA Factors'!$A$6:$L$200,4,FALSE),0)</f>
        <v>0.59</v>
      </c>
      <c r="F6" s="22">
        <f>IFERROR(VLOOKUP($C6,'OpenLCA Factors'!$A$6:$L$200,5,FALSE),0)</f>
        <v>0.45</v>
      </c>
      <c r="G6" s="22">
        <f>IFERROR(VLOOKUP($C6,'OpenLCA Factors'!$A$6:$L$200,6,FALSE),0)</f>
        <v>1.1999999999999999E-3</v>
      </c>
      <c r="H6" s="22">
        <f>IFERROR(VLOOKUP($C6,'OpenLCA Factors'!$A$6:$L$200,7,FALSE),0)</f>
        <v>2E-3</v>
      </c>
      <c r="I6" s="22">
        <f>IFERROR(VLOOKUP($C6,'OpenLCA Factors'!$A$6:$L$200,8,FALSE),0)</f>
        <v>5.0000000000000002E-5</v>
      </c>
      <c r="J6" s="22">
        <f>IFERROR(VLOOKUP($C6,'OpenLCA Factors'!$A$6:$L$200,9,FALSE),0)</f>
        <v>0.3</v>
      </c>
      <c r="K6" s="22">
        <f>IFERROR(VLOOKUP($C6,'OpenLCA Factors'!$A$6:$L$200,10,FALSE),0)</f>
        <v>2E-3</v>
      </c>
      <c r="L6" s="22">
        <f>IFERROR(VLOOKUP($C6,'OpenLCA Factors'!$A$6:$L$200,11,FALSE),0)</f>
        <v>0.1</v>
      </c>
      <c r="M6" s="22">
        <f>IFERROR(VLOOKUP($D6,'OpenLCA Factors'!$A$6:$L$200,4,FALSE),0)</f>
        <v>3.15</v>
      </c>
      <c r="N6" s="22">
        <f>IFERROR(VLOOKUP($D6,'OpenLCA Factors'!$A$6:$L$200,5,FALSE),0)</f>
        <v>1</v>
      </c>
      <c r="O6" s="22">
        <f>IFERROR(VLOOKUP($D6,'OpenLCA Factors'!$A$6:$L$200,6,FALSE),0)</f>
        <v>2.5000000000000001E-3</v>
      </c>
      <c r="P6" s="22">
        <f>IFERROR(VLOOKUP($D6,'OpenLCA Factors'!$A$6:$L$200,7,FALSE),0)</f>
        <v>3.5000000000000001E-3</v>
      </c>
      <c r="Q6" s="22">
        <f>IFERROR(VLOOKUP($D6,'OpenLCA Factors'!$A$6:$L$200,8,FALSE),0)</f>
        <v>8.0000000000000007E-5</v>
      </c>
      <c r="R6" s="22">
        <f>IFERROR(VLOOKUP($D6,'OpenLCA Factors'!$A$6:$L$200,9,FALSE),0)</f>
        <v>0.5</v>
      </c>
      <c r="S6" s="22">
        <f>IFERROR(VLOOKUP($D6,'OpenLCA Factors'!$A$6:$L$200,10,FALSE),0)</f>
        <v>1E-3</v>
      </c>
      <c r="T6" s="22">
        <f>IFERROR(VLOOKUP($D6,'OpenLCA Factors'!$A$6:$L$200,11,FALSE),0)</f>
        <v>0.05</v>
      </c>
      <c r="U6" s="5" t="s">
        <v>151</v>
      </c>
      <c r="X6" s="12" t="s">
        <v>82</v>
      </c>
      <c r="Y6" s="12" t="s">
        <v>148</v>
      </c>
      <c r="Z6" s="14">
        <v>1</v>
      </c>
      <c r="AA6" s="22">
        <f t="shared" ref="AA6:AA11" si="0">IFERROR(VLOOKUP($Y6,$A$6:$U$20,2,FALSE),0)</f>
        <v>0.8</v>
      </c>
      <c r="AB6" s="22">
        <f t="shared" ref="AB6:AB11" si="1">IFERROR(VLOOKUP($Y6,$A$6:$U$20,5,FALSE),0)</f>
        <v>0.59</v>
      </c>
      <c r="AC6" s="22">
        <f t="shared" ref="AC6:AC11" si="2">IFERROR(VLOOKUP($Y6,$A$6:$U$20,6,FALSE),0)</f>
        <v>0.45</v>
      </c>
      <c r="AD6" s="22">
        <f t="shared" ref="AD6:AD11" si="3">IFERROR(VLOOKUP($Y6,$A$6:$U$20,7,FALSE),0)</f>
        <v>1.1999999999999999E-3</v>
      </c>
      <c r="AE6" s="22">
        <f t="shared" ref="AE6:AE11" si="4">IFERROR(VLOOKUP($Y6,$A$6:$U$20,8,FALSE),0)</f>
        <v>2E-3</v>
      </c>
      <c r="AF6" s="22">
        <f t="shared" ref="AF6:AF11" si="5">IFERROR(VLOOKUP($Y6,$A$6:$U$20,9,FALSE),0)</f>
        <v>5.0000000000000002E-5</v>
      </c>
      <c r="AG6" s="22">
        <f t="shared" ref="AG6:AG11" si="6">IFERROR(VLOOKUP($Y6,$A$6:$U$20,10,FALSE),0)</f>
        <v>0.3</v>
      </c>
      <c r="AH6" s="22">
        <f t="shared" ref="AH6:AH11" si="7">IFERROR(VLOOKUP($Y6,$A$6:$U$20,11,FALSE),0)</f>
        <v>2E-3</v>
      </c>
      <c r="AI6" s="22">
        <f t="shared" ref="AI6:AI11" si="8">IFERROR(VLOOKUP($Y6,$A$6:$U$20,12,FALSE),0)</f>
        <v>0.1</v>
      </c>
      <c r="AJ6" s="22">
        <f t="shared" ref="AJ6:AJ11" si="9">IFERROR(VLOOKUP($Y6,$A$6:$U$20,13,FALSE),0)</f>
        <v>3.15</v>
      </c>
      <c r="AK6" s="22">
        <f t="shared" ref="AK6:AK11" si="10">IFERROR(VLOOKUP($Y6,$A$6:$U$20,14,FALSE),0)</f>
        <v>1</v>
      </c>
      <c r="AL6" s="22">
        <f t="shared" ref="AL6:AL11" si="11">IFERROR(VLOOKUP($Y6,$A$6:$U$20,15,FALSE),0)</f>
        <v>2.5000000000000001E-3</v>
      </c>
      <c r="AM6" s="22">
        <f t="shared" ref="AM6:AM11" si="12">IFERROR(VLOOKUP($Y6,$A$6:$U$20,16,FALSE),0)</f>
        <v>3.5000000000000001E-3</v>
      </c>
      <c r="AN6" s="22">
        <f t="shared" ref="AN6:AN11" si="13">IFERROR(VLOOKUP($Y6,$A$6:$U$20,17,FALSE),0)</f>
        <v>8.0000000000000007E-5</v>
      </c>
      <c r="AO6" s="22">
        <f t="shared" ref="AO6:AO11" si="14">IFERROR(VLOOKUP($Y6,$A$6:$U$20,18,FALSE),0)</f>
        <v>0.5</v>
      </c>
      <c r="AP6" s="22">
        <f t="shared" ref="AP6:AP11" si="15">IFERROR(VLOOKUP($Y6,$A$6:$U$20,19,FALSE),0)</f>
        <v>1E-3</v>
      </c>
      <c r="AQ6" s="22">
        <f t="shared" ref="AQ6:AQ11" si="16">IFERROR(VLOOKUP($Y6,$A$6:$U$20,20,FALSE),0)</f>
        <v>0.05</v>
      </c>
      <c r="AR6" s="25">
        <f t="shared" ref="AR6:AR11" si="17">Z6*AA6</f>
        <v>0.8</v>
      </c>
      <c r="AS6" s="25">
        <f t="shared" ref="AS6:AS11" si="18">Z6*AA6*(AB6+AJ6)</f>
        <v>2.992</v>
      </c>
      <c r="AT6" s="25">
        <f t="shared" ref="AT6:AT11" si="19">Z6*AA6*(AC6+AK6)</f>
        <v>1.1599999999999999</v>
      </c>
      <c r="AU6" s="25">
        <f t="shared" ref="AU6:AU11" si="20">Z6*AA6*(AD6+AL6)</f>
        <v>2.9600000000000004E-3</v>
      </c>
      <c r="AV6" s="25">
        <f t="shared" ref="AV6:AV11" si="21">Z6*AA6*(AE6+AM6)</f>
        <v>4.4000000000000003E-3</v>
      </c>
      <c r="AW6" s="25">
        <f t="shared" ref="AW6:AW11" si="22">Z6*AA6*(AF6+AN6)</f>
        <v>1.0400000000000002E-4</v>
      </c>
      <c r="AX6" s="25">
        <f t="shared" ref="AX6:AX11" si="23">Z6*AA6*(AG6+AO6)</f>
        <v>0.64000000000000012</v>
      </c>
      <c r="AY6" s="25">
        <f t="shared" ref="AY6:AY11" si="24">Z6*AA6*(AH6+AP6)</f>
        <v>2.4000000000000002E-3</v>
      </c>
      <c r="AZ6" s="25">
        <f t="shared" ref="AZ6:AZ11" si="25">Z6*AA6*(AI6+AQ6)</f>
        <v>0.12000000000000002</v>
      </c>
      <c r="BC6" s="4" t="s">
        <v>82</v>
      </c>
      <c r="BD6" s="25">
        <f>SUMIF($X$6:$X$20,BC6,$AR$6:$AR$20)</f>
        <v>0.8</v>
      </c>
      <c r="BE6" s="25">
        <f>SUMIF($X$6:$X$20,BC6,$AS$6:$AS$20)</f>
        <v>2.992</v>
      </c>
      <c r="BF6" s="25">
        <f>SUMIF($X$6:$X$20,BC6,$AT$6:$AT$20)</f>
        <v>1.1599999999999999</v>
      </c>
      <c r="BG6" s="25">
        <f>SUMIF($X$6:$X$20,BC6,$AU$6:$AU$20)</f>
        <v>2.9600000000000004E-3</v>
      </c>
      <c r="BH6" s="25">
        <f>SUMIF($X$6:$X$20,BC6,$AV$6:$AV$20)</f>
        <v>4.4000000000000003E-3</v>
      </c>
      <c r="BI6" s="25">
        <f>SUMIF($X$6:$X$20,BC6,$AW$6:$AW$20)</f>
        <v>1.0400000000000002E-4</v>
      </c>
      <c r="BJ6" s="25">
        <f>SUMIF($X$6:$X$20,BC6,$AX$6:$AX$20)</f>
        <v>0.64000000000000012</v>
      </c>
      <c r="BK6" s="25">
        <f>SUMIF($X$6:$X$20,BC6,$AY$6:$AY$20)</f>
        <v>2.4000000000000002E-3</v>
      </c>
      <c r="BL6" s="25">
        <f>SUMIF($X$6:$X$20,BC6,$AZ$6:$AZ$20)</f>
        <v>0.12000000000000002</v>
      </c>
    </row>
    <row r="7" spans="1:64" ht="29.5" x14ac:dyDescent="0.75">
      <c r="A7" s="12" t="s">
        <v>152</v>
      </c>
      <c r="B7" s="21">
        <v>0.78</v>
      </c>
      <c r="C7" s="12" t="s">
        <v>153</v>
      </c>
      <c r="D7" s="12" t="s">
        <v>154</v>
      </c>
      <c r="E7" s="22">
        <f>IFERROR(VLOOKUP($C7,'OpenLCA Factors'!$A$6:$L$200,4,FALSE),0)</f>
        <v>0.9</v>
      </c>
      <c r="F7" s="22">
        <f>IFERROR(VLOOKUP($C7,'OpenLCA Factors'!$A$6:$L$200,5,FALSE),0)</f>
        <v>0.2</v>
      </c>
      <c r="G7" s="22">
        <f>IFERROR(VLOOKUP($C7,'OpenLCA Factors'!$A$6:$L$200,6,FALSE),0)</f>
        <v>8.0000000000000004E-4</v>
      </c>
      <c r="H7" s="22">
        <f>IFERROR(VLOOKUP($C7,'OpenLCA Factors'!$A$6:$L$200,7,FALSE),0)</f>
        <v>1.5E-3</v>
      </c>
      <c r="I7" s="22">
        <f>IFERROR(VLOOKUP($C7,'OpenLCA Factors'!$A$6:$L$200,8,FALSE),0)</f>
        <v>4.0000000000000003E-5</v>
      </c>
      <c r="J7" s="22">
        <f>IFERROR(VLOOKUP($C7,'OpenLCA Factors'!$A$6:$L$200,9,FALSE),0)</f>
        <v>0.25</v>
      </c>
      <c r="K7" s="22">
        <f>IFERROR(VLOOKUP($C7,'OpenLCA Factors'!$A$6:$L$200,10,FALSE),0)</f>
        <v>1E-3</v>
      </c>
      <c r="L7" s="22">
        <f>IFERROR(VLOOKUP($C7,'OpenLCA Factors'!$A$6:$L$200,11,FALSE),0)</f>
        <v>0.08</v>
      </c>
      <c r="M7" s="22">
        <f>IFERROR(VLOOKUP($D7,'OpenLCA Factors'!$A$6:$L$200,4,FALSE),0)</f>
        <v>0</v>
      </c>
      <c r="N7" s="22">
        <f>IFERROR(VLOOKUP($D7,'OpenLCA Factors'!$A$6:$L$200,5,FALSE),0)</f>
        <v>0</v>
      </c>
      <c r="O7" s="22">
        <f>IFERROR(VLOOKUP($D7,'OpenLCA Factors'!$A$6:$L$200,6,FALSE),0)</f>
        <v>2.0000000000000001E-4</v>
      </c>
      <c r="P7" s="22">
        <f>IFERROR(VLOOKUP($D7,'OpenLCA Factors'!$A$6:$L$200,7,FALSE),0)</f>
        <v>2.0000000000000001E-4</v>
      </c>
      <c r="Q7" s="22">
        <f>IFERROR(VLOOKUP($D7,'OpenLCA Factors'!$A$6:$L$200,8,FALSE),0)</f>
        <v>1.0000000000000001E-5</v>
      </c>
      <c r="R7" s="22">
        <f>IFERROR(VLOOKUP($D7,'OpenLCA Factors'!$A$6:$L$200,9,FALSE),0)</f>
        <v>0.02</v>
      </c>
      <c r="S7" s="22">
        <f>IFERROR(VLOOKUP($D7,'OpenLCA Factors'!$A$6:$L$200,10,FALSE),0)</f>
        <v>1E-4</v>
      </c>
      <c r="T7" s="22">
        <f>IFERROR(VLOOKUP($D7,'OpenLCA Factors'!$A$6:$L$200,11,FALSE),0)</f>
        <v>0.01</v>
      </c>
      <c r="U7" s="5" t="s">
        <v>151</v>
      </c>
      <c r="X7" s="12" t="s">
        <v>155</v>
      </c>
      <c r="Y7" s="12" t="s">
        <v>148</v>
      </c>
      <c r="Z7" s="14">
        <v>0.6</v>
      </c>
      <c r="AA7" s="22">
        <f t="shared" si="0"/>
        <v>0.8</v>
      </c>
      <c r="AB7" s="22">
        <f t="shared" si="1"/>
        <v>0.59</v>
      </c>
      <c r="AC7" s="22">
        <f t="shared" si="2"/>
        <v>0.45</v>
      </c>
      <c r="AD7" s="22">
        <f t="shared" si="3"/>
        <v>1.1999999999999999E-3</v>
      </c>
      <c r="AE7" s="22">
        <f t="shared" si="4"/>
        <v>2E-3</v>
      </c>
      <c r="AF7" s="22">
        <f t="shared" si="5"/>
        <v>5.0000000000000002E-5</v>
      </c>
      <c r="AG7" s="22">
        <f t="shared" si="6"/>
        <v>0.3</v>
      </c>
      <c r="AH7" s="22">
        <f t="shared" si="7"/>
        <v>2E-3</v>
      </c>
      <c r="AI7" s="22">
        <f t="shared" si="8"/>
        <v>0.1</v>
      </c>
      <c r="AJ7" s="22">
        <f t="shared" si="9"/>
        <v>3.15</v>
      </c>
      <c r="AK7" s="22">
        <f t="shared" si="10"/>
        <v>1</v>
      </c>
      <c r="AL7" s="22">
        <f t="shared" si="11"/>
        <v>2.5000000000000001E-3</v>
      </c>
      <c r="AM7" s="22">
        <f t="shared" si="12"/>
        <v>3.5000000000000001E-3</v>
      </c>
      <c r="AN7" s="22">
        <f t="shared" si="13"/>
        <v>8.0000000000000007E-5</v>
      </c>
      <c r="AO7" s="22">
        <f t="shared" si="14"/>
        <v>0.5</v>
      </c>
      <c r="AP7" s="22">
        <f t="shared" si="15"/>
        <v>1E-3</v>
      </c>
      <c r="AQ7" s="22">
        <f t="shared" si="16"/>
        <v>0.05</v>
      </c>
      <c r="AR7" s="25">
        <f t="shared" si="17"/>
        <v>0.48</v>
      </c>
      <c r="AS7" s="25">
        <f t="shared" si="18"/>
        <v>1.7951999999999999</v>
      </c>
      <c r="AT7" s="25">
        <f t="shared" si="19"/>
        <v>0.69599999999999995</v>
      </c>
      <c r="AU7" s="25">
        <f t="shared" si="20"/>
        <v>1.776E-3</v>
      </c>
      <c r="AV7" s="25">
        <f t="shared" si="21"/>
        <v>2.6399999999999996E-3</v>
      </c>
      <c r="AW7" s="25">
        <f t="shared" si="22"/>
        <v>6.2399999999999999E-5</v>
      </c>
      <c r="AX7" s="25">
        <f t="shared" si="23"/>
        <v>0.38400000000000001</v>
      </c>
      <c r="AY7" s="25">
        <f t="shared" si="24"/>
        <v>1.4399999999999999E-3</v>
      </c>
      <c r="AZ7" s="25">
        <f t="shared" si="25"/>
        <v>7.2000000000000008E-2</v>
      </c>
      <c r="BC7" s="4" t="s">
        <v>155</v>
      </c>
      <c r="BD7" s="25">
        <f>SUMIF($X$6:$X$20,BC7,$AR$6:$AR$20)</f>
        <v>0.79200000000000004</v>
      </c>
      <c r="BE7" s="25">
        <f>SUMIF($X$6:$X$20,BC7,$AS$6:$AS$20)</f>
        <v>2.0760000000000001</v>
      </c>
      <c r="BF7" s="25">
        <f>SUMIF($X$6:$X$20,BC7,$AT$6:$AT$20)</f>
        <v>0.75839999999999996</v>
      </c>
      <c r="BG7" s="25">
        <f>SUMIF($X$6:$X$20,BC7,$AU$6:$AU$20)</f>
        <v>2.088E-3</v>
      </c>
      <c r="BH7" s="25">
        <f>SUMIF($X$6:$X$20,BC7,$AV$6:$AV$20)</f>
        <v>3.1703999999999994E-3</v>
      </c>
      <c r="BI7" s="25">
        <f>SUMIF($X$6:$X$20,BC7,$AW$6:$AW$20)</f>
        <v>7.7999999999999999E-5</v>
      </c>
      <c r="BJ7" s="25">
        <f>SUMIF($X$6:$X$20,BC7,$AX$6:$AX$20)</f>
        <v>0.46824000000000005</v>
      </c>
      <c r="BK7" s="25">
        <f>SUMIF($X$6:$X$20,BC7,$AY$6:$AY$20)</f>
        <v>1.7832E-3</v>
      </c>
      <c r="BL7" s="25">
        <f>SUMIF($X$6:$X$20,BC7,$AZ$6:$AZ$20)</f>
        <v>0.10008000000000002</v>
      </c>
    </row>
    <row r="8" spans="1:64" ht="29.5" x14ac:dyDescent="0.75">
      <c r="A8" s="12" t="s">
        <v>156</v>
      </c>
      <c r="B8" s="21">
        <v>0.79</v>
      </c>
      <c r="C8" s="12" t="s">
        <v>157</v>
      </c>
      <c r="D8" s="12" t="s">
        <v>158</v>
      </c>
      <c r="E8" s="22">
        <f>IFERROR(VLOOKUP($C8,'OpenLCA Factors'!$A$6:$L$200,4,FALSE),0)</f>
        <v>1.3</v>
      </c>
      <c r="F8" s="22">
        <f>IFERROR(VLOOKUP($C8,'OpenLCA Factors'!$A$6:$L$200,5,FALSE),0)</f>
        <v>0.35</v>
      </c>
      <c r="G8" s="22">
        <f>IFERROR(VLOOKUP($C8,'OpenLCA Factors'!$A$6:$L$200,6,FALSE),0)</f>
        <v>1E-3</v>
      </c>
      <c r="H8" s="22">
        <f>IFERROR(VLOOKUP($C8,'OpenLCA Factors'!$A$6:$L$200,7,FALSE),0)</f>
        <v>1.8E-3</v>
      </c>
      <c r="I8" s="22">
        <f>IFERROR(VLOOKUP($C8,'OpenLCA Factors'!$A$6:$L$200,8,FALSE),0)</f>
        <v>5.0000000000000002E-5</v>
      </c>
      <c r="J8" s="22">
        <f>IFERROR(VLOOKUP($C8,'OpenLCA Factors'!$A$6:$L$200,9,FALSE),0)</f>
        <v>0.28000000000000003</v>
      </c>
      <c r="K8" s="22">
        <f>IFERROR(VLOOKUP($C8,'OpenLCA Factors'!$A$6:$L$200,10,FALSE),0)</f>
        <v>3.0000000000000001E-3</v>
      </c>
      <c r="L8" s="22">
        <f>IFERROR(VLOOKUP($C8,'OpenLCA Factors'!$A$6:$L$200,11,FALSE),0)</f>
        <v>0.1</v>
      </c>
      <c r="M8" s="22">
        <f>IFERROR(VLOOKUP($D8,'OpenLCA Factors'!$A$6:$L$200,4,FALSE),0)</f>
        <v>0.2</v>
      </c>
      <c r="N8" s="22">
        <f>IFERROR(VLOOKUP($D8,'OpenLCA Factors'!$A$6:$L$200,5,FALSE),0)</f>
        <v>0.1</v>
      </c>
      <c r="O8" s="22">
        <f>IFERROR(VLOOKUP($D8,'OpenLCA Factors'!$A$6:$L$200,6,FALSE),0)</f>
        <v>5.0000000000000001E-4</v>
      </c>
      <c r="P8" s="22">
        <f>IFERROR(VLOOKUP($D8,'OpenLCA Factors'!$A$6:$L$200,7,FALSE),0)</f>
        <v>5.0000000000000001E-4</v>
      </c>
      <c r="Q8" s="22">
        <f>IFERROR(VLOOKUP($D8,'OpenLCA Factors'!$A$6:$L$200,8,FALSE),0)</f>
        <v>2.0000000000000002E-5</v>
      </c>
      <c r="R8" s="22">
        <f>IFERROR(VLOOKUP($D8,'OpenLCA Factors'!$A$6:$L$200,9,FALSE),0)</f>
        <v>0.05</v>
      </c>
      <c r="S8" s="22">
        <f>IFERROR(VLOOKUP($D8,'OpenLCA Factors'!$A$6:$L$200,10,FALSE),0)</f>
        <v>5.0000000000000001E-4</v>
      </c>
      <c r="T8" s="22">
        <f>IFERROR(VLOOKUP($D8,'OpenLCA Factors'!$A$6:$L$200,11,FALSE),0)</f>
        <v>0.02</v>
      </c>
      <c r="U8" s="5" t="s">
        <v>151</v>
      </c>
      <c r="X8" s="12" t="s">
        <v>155</v>
      </c>
      <c r="Y8" s="12" t="s">
        <v>152</v>
      </c>
      <c r="Z8" s="14">
        <v>0.4</v>
      </c>
      <c r="AA8" s="22">
        <f t="shared" si="0"/>
        <v>0.78</v>
      </c>
      <c r="AB8" s="22">
        <f t="shared" si="1"/>
        <v>0.9</v>
      </c>
      <c r="AC8" s="22">
        <f t="shared" si="2"/>
        <v>0.2</v>
      </c>
      <c r="AD8" s="22">
        <f t="shared" si="3"/>
        <v>8.0000000000000004E-4</v>
      </c>
      <c r="AE8" s="22">
        <f t="shared" si="4"/>
        <v>1.5E-3</v>
      </c>
      <c r="AF8" s="22">
        <f t="shared" si="5"/>
        <v>4.0000000000000003E-5</v>
      </c>
      <c r="AG8" s="22">
        <f t="shared" si="6"/>
        <v>0.25</v>
      </c>
      <c r="AH8" s="22">
        <f t="shared" si="7"/>
        <v>1E-3</v>
      </c>
      <c r="AI8" s="22">
        <f t="shared" si="8"/>
        <v>0.08</v>
      </c>
      <c r="AJ8" s="22">
        <f t="shared" si="9"/>
        <v>0</v>
      </c>
      <c r="AK8" s="22">
        <f t="shared" si="10"/>
        <v>0</v>
      </c>
      <c r="AL8" s="22">
        <f t="shared" si="11"/>
        <v>2.0000000000000001E-4</v>
      </c>
      <c r="AM8" s="22">
        <f t="shared" si="12"/>
        <v>2.0000000000000001E-4</v>
      </c>
      <c r="AN8" s="22">
        <f t="shared" si="13"/>
        <v>1.0000000000000001E-5</v>
      </c>
      <c r="AO8" s="22">
        <f t="shared" si="14"/>
        <v>0.02</v>
      </c>
      <c r="AP8" s="22">
        <f t="shared" si="15"/>
        <v>1E-4</v>
      </c>
      <c r="AQ8" s="22">
        <f t="shared" si="16"/>
        <v>0.01</v>
      </c>
      <c r="AR8" s="25">
        <f t="shared" si="17"/>
        <v>0.31200000000000006</v>
      </c>
      <c r="AS8" s="25">
        <f t="shared" si="18"/>
        <v>0.28080000000000005</v>
      </c>
      <c r="AT8" s="25">
        <f t="shared" si="19"/>
        <v>6.2400000000000011E-2</v>
      </c>
      <c r="AU8" s="25">
        <f t="shared" si="20"/>
        <v>3.1200000000000005E-4</v>
      </c>
      <c r="AV8" s="25">
        <f t="shared" si="21"/>
        <v>5.304000000000001E-4</v>
      </c>
      <c r="AW8" s="25">
        <f t="shared" si="22"/>
        <v>1.5600000000000003E-5</v>
      </c>
      <c r="AX8" s="25">
        <f t="shared" si="23"/>
        <v>8.4240000000000023E-2</v>
      </c>
      <c r="AY8" s="25">
        <f t="shared" si="24"/>
        <v>3.432000000000001E-4</v>
      </c>
      <c r="AZ8" s="25">
        <f t="shared" si="25"/>
        <v>2.8080000000000004E-2</v>
      </c>
      <c r="BC8" s="4" t="s">
        <v>159</v>
      </c>
      <c r="BD8" s="25">
        <f>SUMIF($X$6:$X$20,BC8,$AR$6:$AR$20)</f>
        <v>0.78</v>
      </c>
      <c r="BE8" s="25">
        <f>SUMIF($X$6:$X$20,BC8,$AS$6:$AS$20)</f>
        <v>0.70200000000000007</v>
      </c>
      <c r="BF8" s="25">
        <f>SUMIF($X$6:$X$20,BC8,$AT$6:$AT$20)</f>
        <v>0.15600000000000003</v>
      </c>
      <c r="BG8" s="25">
        <f>SUMIF($X$6:$X$20,BC8,$AU$6:$AU$20)</f>
        <v>7.8000000000000009E-4</v>
      </c>
      <c r="BH8" s="25">
        <f>SUMIF($X$6:$X$20,BC8,$AV$6:$AV$20)</f>
        <v>1.3260000000000001E-3</v>
      </c>
      <c r="BI8" s="25">
        <f>SUMIF($X$6:$X$20,BC8,$AW$6:$AW$20)</f>
        <v>3.9000000000000006E-5</v>
      </c>
      <c r="BJ8" s="25">
        <f>SUMIF($X$6:$X$20,BC8,$AX$6:$AX$20)</f>
        <v>0.21060000000000001</v>
      </c>
      <c r="BK8" s="25">
        <f>SUMIF($X$6:$X$20,BC8,$AY$6:$AY$20)</f>
        <v>8.5800000000000004E-4</v>
      </c>
      <c r="BL8" s="25">
        <f>SUMIF($X$6:$X$20,BC8,$AZ$6:$AZ$20)</f>
        <v>7.0199999999999999E-2</v>
      </c>
    </row>
    <row r="9" spans="1:64" x14ac:dyDescent="0.75">
      <c r="X9" s="12" t="s">
        <v>159</v>
      </c>
      <c r="Y9" s="12" t="s">
        <v>152</v>
      </c>
      <c r="Z9" s="14">
        <v>1</v>
      </c>
      <c r="AA9" s="22">
        <f t="shared" si="0"/>
        <v>0.78</v>
      </c>
      <c r="AB9" s="22">
        <f t="shared" si="1"/>
        <v>0.9</v>
      </c>
      <c r="AC9" s="22">
        <f t="shared" si="2"/>
        <v>0.2</v>
      </c>
      <c r="AD9" s="22">
        <f t="shared" si="3"/>
        <v>8.0000000000000004E-4</v>
      </c>
      <c r="AE9" s="22">
        <f t="shared" si="4"/>
        <v>1.5E-3</v>
      </c>
      <c r="AF9" s="22">
        <f t="shared" si="5"/>
        <v>4.0000000000000003E-5</v>
      </c>
      <c r="AG9" s="22">
        <f t="shared" si="6"/>
        <v>0.25</v>
      </c>
      <c r="AH9" s="22">
        <f t="shared" si="7"/>
        <v>1E-3</v>
      </c>
      <c r="AI9" s="22">
        <f t="shared" si="8"/>
        <v>0.08</v>
      </c>
      <c r="AJ9" s="22">
        <f t="shared" si="9"/>
        <v>0</v>
      </c>
      <c r="AK9" s="22">
        <f t="shared" si="10"/>
        <v>0</v>
      </c>
      <c r="AL9" s="22">
        <f t="shared" si="11"/>
        <v>2.0000000000000001E-4</v>
      </c>
      <c r="AM9" s="22">
        <f t="shared" si="12"/>
        <v>2.0000000000000001E-4</v>
      </c>
      <c r="AN9" s="22">
        <f t="shared" si="13"/>
        <v>1.0000000000000001E-5</v>
      </c>
      <c r="AO9" s="22">
        <f t="shared" si="14"/>
        <v>0.02</v>
      </c>
      <c r="AP9" s="22">
        <f t="shared" si="15"/>
        <v>1E-4</v>
      </c>
      <c r="AQ9" s="22">
        <f t="shared" si="16"/>
        <v>0.01</v>
      </c>
      <c r="AR9" s="25">
        <f t="shared" si="17"/>
        <v>0.78</v>
      </c>
      <c r="AS9" s="25">
        <f t="shared" si="18"/>
        <v>0.70200000000000007</v>
      </c>
      <c r="AT9" s="25">
        <f t="shared" si="19"/>
        <v>0.15600000000000003</v>
      </c>
      <c r="AU9" s="25">
        <f t="shared" si="20"/>
        <v>7.8000000000000009E-4</v>
      </c>
      <c r="AV9" s="25">
        <f t="shared" si="21"/>
        <v>1.3260000000000001E-3</v>
      </c>
      <c r="AW9" s="25">
        <f t="shared" si="22"/>
        <v>3.9000000000000006E-5</v>
      </c>
      <c r="AX9" s="25">
        <f t="shared" si="23"/>
        <v>0.21060000000000001</v>
      </c>
      <c r="AY9" s="25">
        <f t="shared" si="24"/>
        <v>8.5800000000000004E-4</v>
      </c>
      <c r="AZ9" s="25">
        <f t="shared" si="25"/>
        <v>7.0199999999999999E-2</v>
      </c>
      <c r="BC9" s="4" t="s">
        <v>160</v>
      </c>
      <c r="BD9" s="25">
        <f>SUMIF($X$6:$X$20,BC9,$AR$6:$AR$20)</f>
        <v>0.79500000000000004</v>
      </c>
      <c r="BE9" s="25">
        <f>SUMIF($X$6:$X$20,BC9,$AS$6:$AS$20)</f>
        <v>2.0884999999999998</v>
      </c>
      <c r="BF9" s="25">
        <f>SUMIF($X$6:$X$20,BC9,$AT$6:$AT$20)</f>
        <v>0.75774999999999992</v>
      </c>
      <c r="BG9" s="25">
        <f>SUMIF($X$6:$X$20,BC9,$AU$6:$AU$20)</f>
        <v>2.0725000000000001E-3</v>
      </c>
      <c r="BH9" s="25">
        <f>SUMIF($X$6:$X$20,BC9,$AV$6:$AV$20)</f>
        <v>3.1085000000000002E-3</v>
      </c>
      <c r="BI9" s="25">
        <f>SUMIF($X$6:$X$20,BC9,$AW$6:$AW$20)</f>
        <v>7.9650000000000012E-5</v>
      </c>
      <c r="BJ9" s="25">
        <f>SUMIF($X$6:$X$20,BC9,$AX$6:$AX$20)</f>
        <v>0.45035000000000008</v>
      </c>
      <c r="BK9" s="25">
        <f>SUMIF($X$6:$X$20,BC9,$AY$6:$AY$20)</f>
        <v>2.5825000000000002E-3</v>
      </c>
      <c r="BL9" s="25">
        <f>SUMIF($X$6:$X$20,BC9,$AZ$6:$AZ$20)</f>
        <v>0.10740000000000002</v>
      </c>
    </row>
    <row r="10" spans="1:64" x14ac:dyDescent="0.75">
      <c r="X10" s="12" t="s">
        <v>160</v>
      </c>
      <c r="Y10" s="12" t="s">
        <v>148</v>
      </c>
      <c r="Z10" s="14">
        <v>0.5</v>
      </c>
      <c r="AA10" s="22">
        <f t="shared" si="0"/>
        <v>0.8</v>
      </c>
      <c r="AB10" s="22">
        <f t="shared" si="1"/>
        <v>0.59</v>
      </c>
      <c r="AC10" s="22">
        <f t="shared" si="2"/>
        <v>0.45</v>
      </c>
      <c r="AD10" s="22">
        <f t="shared" si="3"/>
        <v>1.1999999999999999E-3</v>
      </c>
      <c r="AE10" s="22">
        <f t="shared" si="4"/>
        <v>2E-3</v>
      </c>
      <c r="AF10" s="22">
        <f t="shared" si="5"/>
        <v>5.0000000000000002E-5</v>
      </c>
      <c r="AG10" s="22">
        <f t="shared" si="6"/>
        <v>0.3</v>
      </c>
      <c r="AH10" s="22">
        <f t="shared" si="7"/>
        <v>2E-3</v>
      </c>
      <c r="AI10" s="22">
        <f t="shared" si="8"/>
        <v>0.1</v>
      </c>
      <c r="AJ10" s="22">
        <f t="shared" si="9"/>
        <v>3.15</v>
      </c>
      <c r="AK10" s="22">
        <f t="shared" si="10"/>
        <v>1</v>
      </c>
      <c r="AL10" s="22">
        <f t="shared" si="11"/>
        <v>2.5000000000000001E-3</v>
      </c>
      <c r="AM10" s="22">
        <f t="shared" si="12"/>
        <v>3.5000000000000001E-3</v>
      </c>
      <c r="AN10" s="22">
        <f t="shared" si="13"/>
        <v>8.0000000000000007E-5</v>
      </c>
      <c r="AO10" s="22">
        <f t="shared" si="14"/>
        <v>0.5</v>
      </c>
      <c r="AP10" s="22">
        <f t="shared" si="15"/>
        <v>1E-3</v>
      </c>
      <c r="AQ10" s="22">
        <f t="shared" si="16"/>
        <v>0.05</v>
      </c>
      <c r="AR10" s="25">
        <f t="shared" si="17"/>
        <v>0.4</v>
      </c>
      <c r="AS10" s="25">
        <f t="shared" si="18"/>
        <v>1.496</v>
      </c>
      <c r="AT10" s="25">
        <f t="shared" si="19"/>
        <v>0.57999999999999996</v>
      </c>
      <c r="AU10" s="25">
        <f t="shared" si="20"/>
        <v>1.4800000000000002E-3</v>
      </c>
      <c r="AV10" s="25">
        <f t="shared" si="21"/>
        <v>2.2000000000000001E-3</v>
      </c>
      <c r="AW10" s="25">
        <f t="shared" si="22"/>
        <v>5.200000000000001E-5</v>
      </c>
      <c r="AX10" s="25">
        <f t="shared" si="23"/>
        <v>0.32000000000000006</v>
      </c>
      <c r="AY10" s="25">
        <f t="shared" si="24"/>
        <v>1.2000000000000001E-3</v>
      </c>
      <c r="AZ10" s="25">
        <f t="shared" si="25"/>
        <v>6.0000000000000012E-2</v>
      </c>
    </row>
    <row r="11" spans="1:64" x14ac:dyDescent="0.75">
      <c r="X11" s="12" t="s">
        <v>160</v>
      </c>
      <c r="Y11" s="12" t="s">
        <v>156</v>
      </c>
      <c r="Z11" s="14">
        <v>0.5</v>
      </c>
      <c r="AA11" s="22">
        <f t="shared" si="0"/>
        <v>0.79</v>
      </c>
      <c r="AB11" s="22">
        <f t="shared" si="1"/>
        <v>1.3</v>
      </c>
      <c r="AC11" s="22">
        <f t="shared" si="2"/>
        <v>0.35</v>
      </c>
      <c r="AD11" s="22">
        <f t="shared" si="3"/>
        <v>1E-3</v>
      </c>
      <c r="AE11" s="22">
        <f t="shared" si="4"/>
        <v>1.8E-3</v>
      </c>
      <c r="AF11" s="22">
        <f t="shared" si="5"/>
        <v>5.0000000000000002E-5</v>
      </c>
      <c r="AG11" s="22">
        <f t="shared" si="6"/>
        <v>0.28000000000000003</v>
      </c>
      <c r="AH11" s="22">
        <f t="shared" si="7"/>
        <v>3.0000000000000001E-3</v>
      </c>
      <c r="AI11" s="22">
        <f t="shared" si="8"/>
        <v>0.1</v>
      </c>
      <c r="AJ11" s="22">
        <f t="shared" si="9"/>
        <v>0.2</v>
      </c>
      <c r="AK11" s="22">
        <f t="shared" si="10"/>
        <v>0.1</v>
      </c>
      <c r="AL11" s="22">
        <f t="shared" si="11"/>
        <v>5.0000000000000001E-4</v>
      </c>
      <c r="AM11" s="22">
        <f t="shared" si="12"/>
        <v>5.0000000000000001E-4</v>
      </c>
      <c r="AN11" s="22">
        <f t="shared" si="13"/>
        <v>2.0000000000000002E-5</v>
      </c>
      <c r="AO11" s="22">
        <f t="shared" si="14"/>
        <v>0.05</v>
      </c>
      <c r="AP11" s="22">
        <f t="shared" si="15"/>
        <v>5.0000000000000001E-4</v>
      </c>
      <c r="AQ11" s="22">
        <f t="shared" si="16"/>
        <v>0.02</v>
      </c>
      <c r="AR11" s="25">
        <f t="shared" si="17"/>
        <v>0.39500000000000002</v>
      </c>
      <c r="AS11" s="25">
        <f t="shared" si="18"/>
        <v>0.59250000000000003</v>
      </c>
      <c r="AT11" s="25">
        <f t="shared" si="19"/>
        <v>0.17774999999999999</v>
      </c>
      <c r="AU11" s="25">
        <f t="shared" si="20"/>
        <v>5.9250000000000004E-4</v>
      </c>
      <c r="AV11" s="25">
        <f t="shared" si="21"/>
        <v>9.0850000000000002E-4</v>
      </c>
      <c r="AW11" s="25">
        <f t="shared" si="22"/>
        <v>2.7650000000000005E-5</v>
      </c>
      <c r="AX11" s="25">
        <f t="shared" si="23"/>
        <v>0.13035000000000002</v>
      </c>
      <c r="AY11" s="25">
        <f t="shared" si="24"/>
        <v>1.3825E-3</v>
      </c>
      <c r="AZ11" s="25">
        <f t="shared" si="25"/>
        <v>4.7400000000000005E-2</v>
      </c>
    </row>
    <row r="12" spans="1:64" x14ac:dyDescent="0.75">
      <c r="A12" s="2" t="s">
        <v>161</v>
      </c>
    </row>
    <row r="13" spans="1:64" ht="29.5" x14ac:dyDescent="0.75">
      <c r="A13" s="11" t="s">
        <v>162</v>
      </c>
      <c r="B13" s="11" t="s">
        <v>163</v>
      </c>
    </row>
    <row r="14" spans="1:64" x14ac:dyDescent="0.75">
      <c r="A14" s="4" t="s">
        <v>82</v>
      </c>
      <c r="B14" s="20">
        <f>SUMIF($X$6:$X$20,A14,$Z$6:$Z$20)</f>
        <v>1</v>
      </c>
    </row>
    <row r="15" spans="1:64" x14ac:dyDescent="0.75">
      <c r="A15" s="4" t="s">
        <v>155</v>
      </c>
      <c r="B15" s="20">
        <f>SUMIF($X$6:$X$20,A15,$Z$6:$Z$20)</f>
        <v>1</v>
      </c>
    </row>
    <row r="16" spans="1:64" x14ac:dyDescent="0.75">
      <c r="A16" s="4" t="s">
        <v>159</v>
      </c>
      <c r="B16" s="20">
        <f>SUMIF($X$6:$X$20,A16,$Z$6:$Z$20)</f>
        <v>1</v>
      </c>
    </row>
    <row r="17" spans="1:2" x14ac:dyDescent="0.75">
      <c r="A17" s="4" t="s">
        <v>160</v>
      </c>
      <c r="B17" s="20">
        <f>SUMIF($X$6:$X$20,A17,$Z$6:$Z$20)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showGridLines="0" workbookViewId="0"/>
  </sheetViews>
  <sheetFormatPr defaultRowHeight="14.75" x14ac:dyDescent="0.75"/>
  <cols>
    <col min="1" max="1" width="14" customWidth="1"/>
    <col min="2" max="2" width="70" customWidth="1"/>
    <col min="3" max="3" width="20" customWidth="1"/>
    <col min="4" max="4" width="10" customWidth="1"/>
  </cols>
  <sheetData>
    <row r="1" spans="1:4" ht="18.5" x14ac:dyDescent="0.9">
      <c r="A1" s="1" t="s">
        <v>164</v>
      </c>
    </row>
    <row r="5" spans="1:4" x14ac:dyDescent="0.75">
      <c r="A5" s="11" t="s">
        <v>89</v>
      </c>
      <c r="B5" s="11" t="s">
        <v>165</v>
      </c>
      <c r="C5" s="11" t="s">
        <v>166</v>
      </c>
      <c r="D5" s="11" t="s">
        <v>167</v>
      </c>
    </row>
    <row r="6" spans="1:4" x14ac:dyDescent="0.75">
      <c r="A6" s="12" t="s">
        <v>168</v>
      </c>
      <c r="B6" s="16" t="s">
        <v>169</v>
      </c>
      <c r="C6" s="14">
        <v>0.05</v>
      </c>
      <c r="D6" s="12">
        <v>4</v>
      </c>
    </row>
    <row r="7" spans="1:4" x14ac:dyDescent="0.75">
      <c r="A7" s="12" t="s">
        <v>97</v>
      </c>
      <c r="B7" s="16" t="s">
        <v>170</v>
      </c>
      <c r="C7" s="14">
        <v>0.1</v>
      </c>
      <c r="D7" s="12">
        <v>3</v>
      </c>
    </row>
    <row r="8" spans="1:4" x14ac:dyDescent="0.75">
      <c r="A8" s="12" t="s">
        <v>106</v>
      </c>
      <c r="B8" s="12" t="s">
        <v>171</v>
      </c>
      <c r="C8" s="14">
        <v>0.2</v>
      </c>
      <c r="D8" s="12">
        <v>2</v>
      </c>
    </row>
    <row r="9" spans="1:4" x14ac:dyDescent="0.75">
      <c r="A9" s="12" t="s">
        <v>118</v>
      </c>
      <c r="B9" s="16" t="s">
        <v>172</v>
      </c>
      <c r="C9" s="14">
        <v>0.3</v>
      </c>
      <c r="D9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6"/>
  <sheetViews>
    <sheetView showGridLines="0" topLeftCell="A15" workbookViewId="0">
      <selection activeCell="A3" sqref="A3"/>
    </sheetView>
  </sheetViews>
  <sheetFormatPr defaultRowHeight="14.75" x14ac:dyDescent="0.75"/>
  <cols>
    <col min="1" max="1" width="24" customWidth="1"/>
    <col min="2" max="2" width="14" customWidth="1"/>
    <col min="3" max="11" width="10" customWidth="1"/>
    <col min="12" max="12" width="36" customWidth="1"/>
  </cols>
  <sheetData>
    <row r="1" spans="1:12" ht="74" x14ac:dyDescent="0.75">
      <c r="A1" s="23" t="s">
        <v>173</v>
      </c>
    </row>
    <row r="3" spans="1:12" ht="88.5" x14ac:dyDescent="0.75">
      <c r="A3" s="5" t="s">
        <v>174</v>
      </c>
    </row>
    <row r="5" spans="1:12" x14ac:dyDescent="0.75">
      <c r="A5" s="11" t="s">
        <v>175</v>
      </c>
      <c r="B5" s="11" t="s">
        <v>176</v>
      </c>
      <c r="C5" s="11" t="s">
        <v>177</v>
      </c>
      <c r="D5" s="11" t="s">
        <v>140</v>
      </c>
      <c r="E5" s="11" t="s">
        <v>141</v>
      </c>
      <c r="F5" s="11" t="s">
        <v>142</v>
      </c>
      <c r="G5" s="11" t="s">
        <v>143</v>
      </c>
      <c r="H5" s="11" t="s">
        <v>144</v>
      </c>
      <c r="I5" s="11" t="s">
        <v>145</v>
      </c>
      <c r="J5" s="11" t="s">
        <v>146</v>
      </c>
      <c r="K5" s="11" t="s">
        <v>147</v>
      </c>
      <c r="L5" s="11" t="s">
        <v>10</v>
      </c>
    </row>
    <row r="6" spans="1:12" x14ac:dyDescent="0.75">
      <c r="A6" s="12" t="s">
        <v>178</v>
      </c>
      <c r="B6" s="12" t="s">
        <v>179</v>
      </c>
      <c r="C6" s="12" t="s">
        <v>180</v>
      </c>
      <c r="D6" s="21">
        <v>20</v>
      </c>
      <c r="E6" s="21">
        <v>15</v>
      </c>
      <c r="F6" s="21">
        <v>0.02</v>
      </c>
      <c r="G6" s="21">
        <v>0.03</v>
      </c>
      <c r="H6" s="21">
        <v>1.1999999999999999E-3</v>
      </c>
      <c r="I6" s="21">
        <v>6</v>
      </c>
      <c r="J6" s="21">
        <v>0.1</v>
      </c>
      <c r="K6" s="21">
        <v>4</v>
      </c>
      <c r="L6" s="12" t="s">
        <v>181</v>
      </c>
    </row>
    <row r="7" spans="1:12" x14ac:dyDescent="0.75">
      <c r="A7" s="12" t="s">
        <v>182</v>
      </c>
      <c r="B7" s="12" t="s">
        <v>179</v>
      </c>
      <c r="C7" s="12" t="s">
        <v>180</v>
      </c>
      <c r="D7" s="21">
        <v>5</v>
      </c>
      <c r="E7" s="21">
        <v>4</v>
      </c>
      <c r="F7" s="21">
        <v>6.0000000000000001E-3</v>
      </c>
      <c r="G7" s="21">
        <v>8.0000000000000002E-3</v>
      </c>
      <c r="H7" s="21">
        <v>4.0000000000000002E-4</v>
      </c>
      <c r="I7" s="21">
        <v>1.2</v>
      </c>
      <c r="J7" s="21">
        <v>0.03</v>
      </c>
      <c r="K7" s="21">
        <v>0.8</v>
      </c>
      <c r="L7" s="12" t="s">
        <v>181</v>
      </c>
    </row>
    <row r="8" spans="1:12" x14ac:dyDescent="0.75">
      <c r="A8" s="12" t="s">
        <v>183</v>
      </c>
      <c r="B8" s="12" t="s">
        <v>179</v>
      </c>
      <c r="C8" s="12" t="s">
        <v>180</v>
      </c>
      <c r="D8" s="21">
        <v>35</v>
      </c>
      <c r="E8" s="21">
        <v>12</v>
      </c>
      <c r="F8" s="21">
        <v>0.02</v>
      </c>
      <c r="G8" s="21">
        <v>2.5000000000000001E-2</v>
      </c>
      <c r="H8" s="21">
        <v>8.0000000000000004E-4</v>
      </c>
      <c r="I8" s="21">
        <v>8.5</v>
      </c>
      <c r="J8" s="21">
        <v>0.08</v>
      </c>
      <c r="K8" s="21">
        <v>5.5</v>
      </c>
      <c r="L8" s="12" t="s">
        <v>181</v>
      </c>
    </row>
    <row r="9" spans="1:12" x14ac:dyDescent="0.75">
      <c r="A9" s="12" t="s">
        <v>184</v>
      </c>
      <c r="B9" s="12" t="s">
        <v>179</v>
      </c>
      <c r="C9" s="12" t="s">
        <v>180</v>
      </c>
      <c r="D9" s="21">
        <v>28</v>
      </c>
      <c r="E9" s="21">
        <v>10</v>
      </c>
      <c r="F9" s="21">
        <v>1.7999999999999999E-2</v>
      </c>
      <c r="G9" s="21">
        <v>0.02</v>
      </c>
      <c r="H9" s="21">
        <v>6.9999999999999999E-4</v>
      </c>
      <c r="I9" s="21">
        <v>12</v>
      </c>
      <c r="J9" s="21">
        <v>0.06</v>
      </c>
      <c r="K9" s="21">
        <v>6.2</v>
      </c>
      <c r="L9" s="12" t="s">
        <v>181</v>
      </c>
    </row>
    <row r="10" spans="1:12" x14ac:dyDescent="0.75">
      <c r="A10" s="12" t="s">
        <v>185</v>
      </c>
      <c r="B10" s="12" t="s">
        <v>179</v>
      </c>
      <c r="C10" s="12" t="s">
        <v>180</v>
      </c>
      <c r="D10" s="21">
        <v>2.5</v>
      </c>
      <c r="E10" s="21">
        <v>2</v>
      </c>
      <c r="F10" s="21">
        <v>3.0000000000000001E-3</v>
      </c>
      <c r="G10" s="21">
        <v>4.0000000000000001E-3</v>
      </c>
      <c r="H10" s="21">
        <v>2.0000000000000001E-4</v>
      </c>
      <c r="I10" s="21">
        <v>0.9</v>
      </c>
      <c r="J10" s="21">
        <v>0.02</v>
      </c>
      <c r="K10" s="21">
        <v>0.5</v>
      </c>
      <c r="L10" s="12" t="s">
        <v>181</v>
      </c>
    </row>
    <row r="11" spans="1:12" x14ac:dyDescent="0.75">
      <c r="A11" s="12" t="s">
        <v>186</v>
      </c>
      <c r="B11" s="12" t="s">
        <v>179</v>
      </c>
      <c r="C11" s="12" t="s">
        <v>180</v>
      </c>
      <c r="D11" s="21">
        <v>10</v>
      </c>
      <c r="E11" s="21">
        <v>7</v>
      </c>
      <c r="F11" s="21">
        <v>0.01</v>
      </c>
      <c r="G11" s="21">
        <v>1.2E-2</v>
      </c>
      <c r="H11" s="21">
        <v>5.0000000000000001E-4</v>
      </c>
      <c r="I11" s="21">
        <v>2.5</v>
      </c>
      <c r="J11" s="21">
        <v>0.04</v>
      </c>
      <c r="K11" s="21">
        <v>1.6</v>
      </c>
      <c r="L11" s="12" t="s">
        <v>181</v>
      </c>
    </row>
    <row r="12" spans="1:12" x14ac:dyDescent="0.75">
      <c r="A12" s="12" t="s">
        <v>187</v>
      </c>
      <c r="B12" s="12" t="s">
        <v>179</v>
      </c>
      <c r="C12" s="12" t="s">
        <v>180</v>
      </c>
      <c r="D12" s="21">
        <v>30</v>
      </c>
      <c r="E12" s="21">
        <v>18</v>
      </c>
      <c r="F12" s="21">
        <v>2.5000000000000001E-2</v>
      </c>
      <c r="G12" s="21">
        <v>1.7999999999999999E-2</v>
      </c>
      <c r="H12" s="21">
        <v>8.9999999999999998E-4</v>
      </c>
      <c r="I12" s="21">
        <v>25</v>
      </c>
      <c r="J12" s="21">
        <v>0.05</v>
      </c>
      <c r="K12" s="21">
        <v>10</v>
      </c>
      <c r="L12" s="12" t="s">
        <v>181</v>
      </c>
    </row>
    <row r="13" spans="1:12" x14ac:dyDescent="0.75">
      <c r="A13" s="12" t="s">
        <v>188</v>
      </c>
      <c r="B13" s="12" t="s">
        <v>179</v>
      </c>
      <c r="C13" s="12" t="s">
        <v>180</v>
      </c>
      <c r="D13" s="21">
        <v>4</v>
      </c>
      <c r="E13" s="21">
        <v>3</v>
      </c>
      <c r="F13" s="21">
        <v>4.0000000000000001E-3</v>
      </c>
      <c r="G13" s="21">
        <v>5.0000000000000001E-3</v>
      </c>
      <c r="H13" s="21">
        <v>2.0000000000000001E-4</v>
      </c>
      <c r="I13" s="21">
        <v>1</v>
      </c>
      <c r="J13" s="21">
        <v>0.02</v>
      </c>
      <c r="K13" s="21">
        <v>0.7</v>
      </c>
      <c r="L13" s="12" t="s">
        <v>181</v>
      </c>
    </row>
    <row r="14" spans="1:12" x14ac:dyDescent="0.75">
      <c r="A14" s="12" t="s">
        <v>189</v>
      </c>
      <c r="B14" s="12" t="s">
        <v>190</v>
      </c>
      <c r="C14" s="12" t="s">
        <v>191</v>
      </c>
      <c r="D14" s="21">
        <v>0.06</v>
      </c>
      <c r="E14" s="21">
        <v>0.03</v>
      </c>
      <c r="F14" s="21">
        <v>6.0000000000000002E-5</v>
      </c>
      <c r="G14" s="21">
        <v>8.0000000000000007E-5</v>
      </c>
      <c r="H14" s="21">
        <v>5.0000000000000004E-6</v>
      </c>
      <c r="I14" s="21">
        <v>0.02</v>
      </c>
      <c r="J14" s="21">
        <v>5.0000000000000001E-4</v>
      </c>
      <c r="K14" s="21">
        <v>0.01</v>
      </c>
      <c r="L14" s="12" t="s">
        <v>192</v>
      </c>
    </row>
    <row r="15" spans="1:12" x14ac:dyDescent="0.75">
      <c r="A15" s="12" t="s">
        <v>193</v>
      </c>
      <c r="B15" s="12" t="s">
        <v>194</v>
      </c>
      <c r="C15" s="12" t="s">
        <v>195</v>
      </c>
      <c r="D15" s="21">
        <v>0.09</v>
      </c>
      <c r="E15" s="21">
        <v>4.4999999999999998E-2</v>
      </c>
      <c r="F15" s="21">
        <v>1E-4</v>
      </c>
      <c r="G15" s="21">
        <v>1.4999999999999999E-4</v>
      </c>
      <c r="H15" s="21">
        <v>3.9999999999999998E-6</v>
      </c>
      <c r="I15" s="21">
        <v>0.02</v>
      </c>
      <c r="J15" s="21">
        <v>1E-4</v>
      </c>
      <c r="K15" s="21">
        <v>6.0000000000000001E-3</v>
      </c>
      <c r="L15" s="12" t="s">
        <v>196</v>
      </c>
    </row>
    <row r="16" spans="1:12" x14ac:dyDescent="0.75">
      <c r="A16" s="12" t="s">
        <v>197</v>
      </c>
      <c r="B16" s="12" t="s">
        <v>194</v>
      </c>
      <c r="C16" s="12" t="s">
        <v>195</v>
      </c>
      <c r="D16" s="21">
        <v>0.01</v>
      </c>
      <c r="E16" s="21">
        <v>8.0000000000000002E-3</v>
      </c>
      <c r="F16" s="21">
        <v>2.0000000000000002E-5</v>
      </c>
      <c r="G16" s="21">
        <v>3.0000000000000001E-5</v>
      </c>
      <c r="H16" s="21">
        <v>9.9999999999999995E-7</v>
      </c>
      <c r="I16" s="21">
        <v>4.0000000000000001E-3</v>
      </c>
      <c r="J16" s="21">
        <v>5.0000000000000002E-5</v>
      </c>
      <c r="K16" s="21">
        <v>2E-3</v>
      </c>
      <c r="L16" s="12" t="s">
        <v>198</v>
      </c>
    </row>
    <row r="17" spans="1:12" x14ac:dyDescent="0.75">
      <c r="A17" s="12" t="s">
        <v>149</v>
      </c>
      <c r="B17" s="12" t="s">
        <v>199</v>
      </c>
      <c r="C17" s="12" t="s">
        <v>180</v>
      </c>
      <c r="D17" s="21">
        <v>0.59</v>
      </c>
      <c r="E17" s="21">
        <v>0.45</v>
      </c>
      <c r="F17" s="21">
        <v>1.1999999999999999E-3</v>
      </c>
      <c r="G17" s="21">
        <v>2E-3</v>
      </c>
      <c r="H17" s="21">
        <v>5.0000000000000002E-5</v>
      </c>
      <c r="I17" s="21">
        <v>0.3</v>
      </c>
      <c r="J17" s="21">
        <v>2E-3</v>
      </c>
      <c r="K17" s="21">
        <v>0.1</v>
      </c>
      <c r="L17" s="12" t="s">
        <v>200</v>
      </c>
    </row>
    <row r="18" spans="1:12" x14ac:dyDescent="0.75">
      <c r="A18" s="12" t="s">
        <v>150</v>
      </c>
      <c r="B18" s="12" t="s">
        <v>201</v>
      </c>
      <c r="C18" s="12" t="s">
        <v>180</v>
      </c>
      <c r="D18" s="21">
        <v>3.15</v>
      </c>
      <c r="E18" s="21">
        <v>1</v>
      </c>
      <c r="F18" s="21">
        <v>2.5000000000000001E-3</v>
      </c>
      <c r="G18" s="21">
        <v>3.5000000000000001E-3</v>
      </c>
      <c r="H18" s="21">
        <v>8.0000000000000007E-5</v>
      </c>
      <c r="I18" s="21">
        <v>0.5</v>
      </c>
      <c r="J18" s="21">
        <v>1E-3</v>
      </c>
      <c r="K18" s="21">
        <v>0.05</v>
      </c>
      <c r="L18" s="12" t="s">
        <v>202</v>
      </c>
    </row>
    <row r="19" spans="1:12" x14ac:dyDescent="0.75">
      <c r="A19" s="12" t="s">
        <v>153</v>
      </c>
      <c r="B19" s="12" t="s">
        <v>199</v>
      </c>
      <c r="C19" s="12" t="s">
        <v>180</v>
      </c>
      <c r="D19" s="21">
        <v>0.9</v>
      </c>
      <c r="E19" s="21">
        <v>0.2</v>
      </c>
      <c r="F19" s="21">
        <v>8.0000000000000004E-4</v>
      </c>
      <c r="G19" s="21">
        <v>1.5E-3</v>
      </c>
      <c r="H19" s="21">
        <v>4.0000000000000003E-5</v>
      </c>
      <c r="I19" s="21">
        <v>0.25</v>
      </c>
      <c r="J19" s="21">
        <v>1E-3</v>
      </c>
      <c r="K19" s="21">
        <v>0.08</v>
      </c>
      <c r="L19" s="12" t="s">
        <v>203</v>
      </c>
    </row>
    <row r="20" spans="1:12" x14ac:dyDescent="0.75">
      <c r="A20" s="12" t="s">
        <v>154</v>
      </c>
      <c r="B20" s="12" t="s">
        <v>201</v>
      </c>
      <c r="C20" s="12" t="s">
        <v>180</v>
      </c>
      <c r="D20" s="21">
        <v>0</v>
      </c>
      <c r="E20" s="21">
        <v>0</v>
      </c>
      <c r="F20" s="21">
        <v>2.0000000000000001E-4</v>
      </c>
      <c r="G20" s="21">
        <v>2.0000000000000001E-4</v>
      </c>
      <c r="H20" s="21">
        <v>1.0000000000000001E-5</v>
      </c>
      <c r="I20" s="21">
        <v>0.02</v>
      </c>
      <c r="J20" s="21">
        <v>1E-4</v>
      </c>
      <c r="K20" s="21">
        <v>0.01</v>
      </c>
      <c r="L20" s="12" t="s">
        <v>204</v>
      </c>
    </row>
    <row r="21" spans="1:12" x14ac:dyDescent="0.75">
      <c r="A21" s="12" t="s">
        <v>157</v>
      </c>
      <c r="B21" s="12" t="s">
        <v>199</v>
      </c>
      <c r="C21" s="12" t="s">
        <v>180</v>
      </c>
      <c r="D21" s="21">
        <v>1.3</v>
      </c>
      <c r="E21" s="21">
        <v>0.35</v>
      </c>
      <c r="F21" s="21">
        <v>1E-3</v>
      </c>
      <c r="G21" s="21">
        <v>1.8E-3</v>
      </c>
      <c r="H21" s="21">
        <v>5.0000000000000002E-5</v>
      </c>
      <c r="I21" s="21">
        <v>0.28000000000000003</v>
      </c>
      <c r="J21" s="21">
        <v>3.0000000000000001E-3</v>
      </c>
      <c r="K21" s="21">
        <v>0.1</v>
      </c>
      <c r="L21" s="16" t="s">
        <v>205</v>
      </c>
    </row>
    <row r="22" spans="1:12" x14ac:dyDescent="0.75">
      <c r="A22" s="12" t="s">
        <v>158</v>
      </c>
      <c r="B22" s="12" t="s">
        <v>201</v>
      </c>
      <c r="C22" s="12" t="s">
        <v>180</v>
      </c>
      <c r="D22" s="21">
        <v>0.2</v>
      </c>
      <c r="E22" s="21">
        <v>0.1</v>
      </c>
      <c r="F22" s="21">
        <v>5.0000000000000001E-4</v>
      </c>
      <c r="G22" s="21">
        <v>5.0000000000000001E-4</v>
      </c>
      <c r="H22" s="21">
        <v>2.0000000000000002E-5</v>
      </c>
      <c r="I22" s="21">
        <v>0.05</v>
      </c>
      <c r="J22" s="21">
        <v>5.0000000000000001E-4</v>
      </c>
      <c r="K22" s="21">
        <v>0.02</v>
      </c>
      <c r="L22" s="12" t="s">
        <v>206</v>
      </c>
    </row>
    <row r="23" spans="1:12" x14ac:dyDescent="0.75">
      <c r="A23" s="12" t="s">
        <v>207</v>
      </c>
      <c r="B23" s="12" t="s">
        <v>208</v>
      </c>
      <c r="C23" s="12" t="s">
        <v>180</v>
      </c>
      <c r="D23" s="21">
        <v>-0.3</v>
      </c>
      <c r="E23" s="21">
        <v>-0.2</v>
      </c>
      <c r="F23" s="21">
        <v>-2.0000000000000001E-4</v>
      </c>
      <c r="G23" s="21">
        <v>-2.0000000000000001E-4</v>
      </c>
      <c r="H23" s="21">
        <v>-1.0000000000000001E-5</v>
      </c>
      <c r="I23" s="21">
        <v>-0.05</v>
      </c>
      <c r="J23" s="21">
        <v>0</v>
      </c>
      <c r="K23" s="21">
        <v>-0.02</v>
      </c>
      <c r="L23" s="12" t="s">
        <v>209</v>
      </c>
    </row>
    <row r="24" spans="1:12" x14ac:dyDescent="0.75">
      <c r="A24" s="12" t="s">
        <v>210</v>
      </c>
      <c r="B24" s="12" t="s">
        <v>208</v>
      </c>
      <c r="C24" s="12" t="s">
        <v>180</v>
      </c>
      <c r="D24" s="21">
        <v>1.5</v>
      </c>
      <c r="E24" s="21">
        <v>0.4</v>
      </c>
      <c r="F24" s="21">
        <v>5.0000000000000001E-4</v>
      </c>
      <c r="G24" s="21">
        <v>8.0000000000000004E-4</v>
      </c>
      <c r="H24" s="21">
        <v>2.0000000000000002E-5</v>
      </c>
      <c r="I24" s="21">
        <v>0.2</v>
      </c>
      <c r="J24" s="21">
        <v>0</v>
      </c>
      <c r="K24" s="21">
        <v>0.05</v>
      </c>
      <c r="L24" s="12" t="s">
        <v>211</v>
      </c>
    </row>
    <row r="25" spans="1:12" x14ac:dyDescent="0.75">
      <c r="A25" s="12" t="s">
        <v>212</v>
      </c>
      <c r="B25" s="12" t="s">
        <v>208</v>
      </c>
      <c r="C25" s="12" t="s">
        <v>180</v>
      </c>
      <c r="D25" s="21">
        <v>0.4</v>
      </c>
      <c r="E25" s="21">
        <v>0.1</v>
      </c>
      <c r="F25" s="21">
        <v>1E-4</v>
      </c>
      <c r="G25" s="21">
        <v>2.0000000000000001E-4</v>
      </c>
      <c r="H25" s="21">
        <v>1.0000000000000001E-5</v>
      </c>
      <c r="I25" s="21">
        <v>0.08</v>
      </c>
      <c r="J25" s="21">
        <v>0</v>
      </c>
      <c r="K25" s="21">
        <v>0.03</v>
      </c>
      <c r="L25" s="12" t="s">
        <v>213</v>
      </c>
    </row>
    <row r="26" spans="1:12" x14ac:dyDescent="0.75">
      <c r="A26" s="12" t="s">
        <v>214</v>
      </c>
      <c r="B26" s="12" t="s">
        <v>208</v>
      </c>
      <c r="C26" s="12" t="s">
        <v>180</v>
      </c>
      <c r="D26" s="21">
        <v>-0.3</v>
      </c>
      <c r="E26" s="21">
        <v>-0.2</v>
      </c>
      <c r="F26" s="21">
        <v>-2.0000000000000001E-4</v>
      </c>
      <c r="G26" s="21">
        <v>-2.0000000000000001E-4</v>
      </c>
      <c r="H26" s="21">
        <v>-1.0000000000000001E-5</v>
      </c>
      <c r="I26" s="21">
        <v>-0.05</v>
      </c>
      <c r="J26" s="21">
        <v>0</v>
      </c>
      <c r="K26" s="21">
        <v>-0.02</v>
      </c>
      <c r="L26" s="12" t="s">
        <v>209</v>
      </c>
    </row>
    <row r="27" spans="1:12" x14ac:dyDescent="0.75">
      <c r="A27" s="12" t="s">
        <v>215</v>
      </c>
      <c r="B27" s="12" t="s">
        <v>208</v>
      </c>
      <c r="C27" s="12" t="s">
        <v>180</v>
      </c>
      <c r="D27" s="21">
        <v>1.5</v>
      </c>
      <c r="E27" s="21">
        <v>0.4</v>
      </c>
      <c r="F27" s="21">
        <v>5.0000000000000001E-4</v>
      </c>
      <c r="G27" s="21">
        <v>8.0000000000000004E-4</v>
      </c>
      <c r="H27" s="21">
        <v>2.0000000000000002E-5</v>
      </c>
      <c r="I27" s="21">
        <v>0.2</v>
      </c>
      <c r="J27" s="21">
        <v>0</v>
      </c>
      <c r="K27" s="21">
        <v>0.05</v>
      </c>
      <c r="L27" s="12" t="s">
        <v>211</v>
      </c>
    </row>
    <row r="28" spans="1:12" x14ac:dyDescent="0.75">
      <c r="A28" s="12" t="s">
        <v>216</v>
      </c>
      <c r="B28" s="12" t="s">
        <v>208</v>
      </c>
      <c r="C28" s="12" t="s">
        <v>180</v>
      </c>
      <c r="D28" s="21">
        <v>0.4</v>
      </c>
      <c r="E28" s="21">
        <v>0.1</v>
      </c>
      <c r="F28" s="21">
        <v>1E-4</v>
      </c>
      <c r="G28" s="21">
        <v>2.0000000000000001E-4</v>
      </c>
      <c r="H28" s="21">
        <v>1.0000000000000001E-5</v>
      </c>
      <c r="I28" s="21">
        <v>0.08</v>
      </c>
      <c r="J28" s="21">
        <v>0</v>
      </c>
      <c r="K28" s="21">
        <v>0.03</v>
      </c>
      <c r="L28" s="12" t="s">
        <v>213</v>
      </c>
    </row>
    <row r="29" spans="1:12" x14ac:dyDescent="0.75">
      <c r="A29" s="12" t="s">
        <v>217</v>
      </c>
      <c r="B29" s="12" t="s">
        <v>208</v>
      </c>
      <c r="C29" s="12" t="s">
        <v>180</v>
      </c>
      <c r="D29" s="21">
        <v>-3</v>
      </c>
      <c r="E29" s="21">
        <v>-2</v>
      </c>
      <c r="F29" s="21">
        <v>-2E-3</v>
      </c>
      <c r="G29" s="21">
        <v>-3.0000000000000001E-3</v>
      </c>
      <c r="H29" s="21">
        <v>-1E-4</v>
      </c>
      <c r="I29" s="21">
        <v>-0.8</v>
      </c>
      <c r="J29" s="21">
        <v>-0.01</v>
      </c>
      <c r="K29" s="21">
        <v>-0.5</v>
      </c>
      <c r="L29" s="12" t="s">
        <v>218</v>
      </c>
    </row>
    <row r="30" spans="1:12" x14ac:dyDescent="0.75">
      <c r="A30" s="12" t="s">
        <v>219</v>
      </c>
      <c r="B30" s="12" t="s">
        <v>208</v>
      </c>
      <c r="C30" s="12" t="s">
        <v>180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12" t="s">
        <v>220</v>
      </c>
    </row>
    <row r="31" spans="1:12" x14ac:dyDescent="0.75">
      <c r="A31" s="12" t="s">
        <v>221</v>
      </c>
      <c r="B31" s="12" t="s">
        <v>208</v>
      </c>
      <c r="C31" s="12" t="s">
        <v>180</v>
      </c>
      <c r="D31" s="21">
        <v>0.2</v>
      </c>
      <c r="E31" s="21">
        <v>0.1</v>
      </c>
      <c r="F31" s="21">
        <v>1E-4</v>
      </c>
      <c r="G31" s="21">
        <v>2.0000000000000001E-4</v>
      </c>
      <c r="H31" s="21">
        <v>1.0000000000000001E-5</v>
      </c>
      <c r="I31" s="21">
        <v>0.05</v>
      </c>
      <c r="J31" s="21">
        <v>0</v>
      </c>
      <c r="K31" s="21">
        <v>0.02</v>
      </c>
      <c r="L31" s="12" t="s">
        <v>213</v>
      </c>
    </row>
    <row r="32" spans="1:12" x14ac:dyDescent="0.75">
      <c r="A32" s="12" t="s">
        <v>222</v>
      </c>
      <c r="B32" s="12" t="s">
        <v>208</v>
      </c>
      <c r="C32" s="12" t="s">
        <v>180</v>
      </c>
      <c r="D32" s="21">
        <v>-3</v>
      </c>
      <c r="E32" s="21">
        <v>-2</v>
      </c>
      <c r="F32" s="21">
        <v>-2E-3</v>
      </c>
      <c r="G32" s="21">
        <v>-3.0000000000000001E-3</v>
      </c>
      <c r="H32" s="21">
        <v>-1E-4</v>
      </c>
      <c r="I32" s="21">
        <v>-0.8</v>
      </c>
      <c r="J32" s="21">
        <v>-0.01</v>
      </c>
      <c r="K32" s="21">
        <v>-0.5</v>
      </c>
      <c r="L32" s="12" t="s">
        <v>218</v>
      </c>
    </row>
    <row r="33" spans="1:12" x14ac:dyDescent="0.75">
      <c r="A33" s="12" t="s">
        <v>223</v>
      </c>
      <c r="B33" s="12" t="s">
        <v>208</v>
      </c>
      <c r="C33" s="12" t="s">
        <v>180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12" t="s">
        <v>220</v>
      </c>
    </row>
    <row r="34" spans="1:12" x14ac:dyDescent="0.75">
      <c r="A34" s="12" t="s">
        <v>224</v>
      </c>
      <c r="B34" s="12" t="s">
        <v>208</v>
      </c>
      <c r="C34" s="12" t="s">
        <v>180</v>
      </c>
      <c r="D34" s="21">
        <v>0.2</v>
      </c>
      <c r="E34" s="21">
        <v>0.1</v>
      </c>
      <c r="F34" s="21">
        <v>1E-4</v>
      </c>
      <c r="G34" s="21">
        <v>2.0000000000000001E-4</v>
      </c>
      <c r="H34" s="21">
        <v>1.0000000000000001E-5</v>
      </c>
      <c r="I34" s="21">
        <v>0.05</v>
      </c>
      <c r="J34" s="21">
        <v>0</v>
      </c>
      <c r="K34" s="21">
        <v>0.02</v>
      </c>
      <c r="L34" s="12" t="s">
        <v>213</v>
      </c>
    </row>
    <row r="35" spans="1:12" x14ac:dyDescent="0.75">
      <c r="A35" s="12" t="s">
        <v>225</v>
      </c>
      <c r="B35" s="12" t="s">
        <v>208</v>
      </c>
      <c r="C35" s="12" t="s">
        <v>180</v>
      </c>
      <c r="D35" s="21">
        <v>-3</v>
      </c>
      <c r="E35" s="21">
        <v>-2</v>
      </c>
      <c r="F35" s="21">
        <v>-2E-3</v>
      </c>
      <c r="G35" s="21">
        <v>-3.0000000000000001E-3</v>
      </c>
      <c r="H35" s="21">
        <v>-1E-4</v>
      </c>
      <c r="I35" s="21">
        <v>-0.8</v>
      </c>
      <c r="J35" s="21">
        <v>-0.01</v>
      </c>
      <c r="K35" s="21">
        <v>-0.5</v>
      </c>
      <c r="L35" s="12" t="s">
        <v>218</v>
      </c>
    </row>
    <row r="36" spans="1:12" x14ac:dyDescent="0.75">
      <c r="A36" s="12" t="s">
        <v>226</v>
      </c>
      <c r="B36" s="12" t="s">
        <v>208</v>
      </c>
      <c r="C36" s="12" t="s">
        <v>180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12" t="s">
        <v>220</v>
      </c>
    </row>
    <row r="37" spans="1:12" x14ac:dyDescent="0.75">
      <c r="A37" s="12" t="s">
        <v>227</v>
      </c>
      <c r="B37" s="12" t="s">
        <v>208</v>
      </c>
      <c r="C37" s="12" t="s">
        <v>180</v>
      </c>
      <c r="D37" s="21">
        <v>0.2</v>
      </c>
      <c r="E37" s="21">
        <v>0.1</v>
      </c>
      <c r="F37" s="21">
        <v>1E-4</v>
      </c>
      <c r="G37" s="21">
        <v>2.0000000000000001E-4</v>
      </c>
      <c r="H37" s="21">
        <v>1.0000000000000001E-5</v>
      </c>
      <c r="I37" s="21">
        <v>0.05</v>
      </c>
      <c r="J37" s="21">
        <v>0</v>
      </c>
      <c r="K37" s="21">
        <v>0.02</v>
      </c>
      <c r="L37" s="12" t="s">
        <v>213</v>
      </c>
    </row>
    <row r="38" spans="1:12" x14ac:dyDescent="0.75">
      <c r="A38" s="12" t="s">
        <v>228</v>
      </c>
      <c r="B38" s="12" t="s">
        <v>208</v>
      </c>
      <c r="C38" s="12" t="s">
        <v>180</v>
      </c>
      <c r="D38" s="21">
        <v>-3</v>
      </c>
      <c r="E38" s="21">
        <v>-2</v>
      </c>
      <c r="F38" s="21">
        <v>-2E-3</v>
      </c>
      <c r="G38" s="21">
        <v>-3.0000000000000001E-3</v>
      </c>
      <c r="H38" s="21">
        <v>-1E-4</v>
      </c>
      <c r="I38" s="21">
        <v>-0.8</v>
      </c>
      <c r="J38" s="21">
        <v>-0.01</v>
      </c>
      <c r="K38" s="21">
        <v>-0.5</v>
      </c>
      <c r="L38" s="12" t="s">
        <v>218</v>
      </c>
    </row>
    <row r="39" spans="1:12" x14ac:dyDescent="0.75">
      <c r="A39" s="12" t="s">
        <v>229</v>
      </c>
      <c r="B39" s="12" t="s">
        <v>208</v>
      </c>
      <c r="C39" s="12" t="s">
        <v>180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12" t="s">
        <v>220</v>
      </c>
    </row>
    <row r="40" spans="1:12" x14ac:dyDescent="0.75">
      <c r="A40" s="12" t="s">
        <v>230</v>
      </c>
      <c r="B40" s="12" t="s">
        <v>208</v>
      </c>
      <c r="C40" s="12" t="s">
        <v>180</v>
      </c>
      <c r="D40" s="21">
        <v>0.2</v>
      </c>
      <c r="E40" s="21">
        <v>0.1</v>
      </c>
      <c r="F40" s="21">
        <v>1E-4</v>
      </c>
      <c r="G40" s="21">
        <v>2.0000000000000001E-4</v>
      </c>
      <c r="H40" s="21">
        <v>1.0000000000000001E-5</v>
      </c>
      <c r="I40" s="21">
        <v>0.05</v>
      </c>
      <c r="J40" s="21">
        <v>0</v>
      </c>
      <c r="K40" s="21">
        <v>0.02</v>
      </c>
      <c r="L40" s="12" t="s">
        <v>213</v>
      </c>
    </row>
    <row r="41" spans="1:12" x14ac:dyDescent="0.75">
      <c r="A41" s="12" t="s">
        <v>231</v>
      </c>
      <c r="B41" s="12" t="s">
        <v>208</v>
      </c>
      <c r="C41" s="12" t="s">
        <v>180</v>
      </c>
      <c r="D41" s="21">
        <v>-5</v>
      </c>
      <c r="E41" s="21">
        <v>-3</v>
      </c>
      <c r="F41" s="21">
        <v>-3.0000000000000001E-3</v>
      </c>
      <c r="G41" s="21">
        <v>-3.0000000000000001E-3</v>
      </c>
      <c r="H41" s="21">
        <v>-1E-4</v>
      </c>
      <c r="I41" s="21">
        <v>-2.5</v>
      </c>
      <c r="J41" s="21">
        <v>-0.02</v>
      </c>
      <c r="K41" s="21">
        <v>-1.5</v>
      </c>
      <c r="L41" s="16" t="s">
        <v>232</v>
      </c>
    </row>
    <row r="42" spans="1:12" x14ac:dyDescent="0.75">
      <c r="A42" s="12" t="s">
        <v>233</v>
      </c>
      <c r="B42" s="12" t="s">
        <v>208</v>
      </c>
      <c r="C42" s="12" t="s">
        <v>180</v>
      </c>
      <c r="D42" s="21">
        <v>2</v>
      </c>
      <c r="E42" s="21">
        <v>0.8</v>
      </c>
      <c r="F42" s="21">
        <v>1E-3</v>
      </c>
      <c r="G42" s="21">
        <v>1.1999999999999999E-3</v>
      </c>
      <c r="H42" s="21">
        <v>3.0000000000000001E-5</v>
      </c>
      <c r="I42" s="21">
        <v>0.8</v>
      </c>
      <c r="J42" s="21">
        <v>0</v>
      </c>
      <c r="K42" s="21">
        <v>0.2</v>
      </c>
      <c r="L42" s="12" t="s">
        <v>234</v>
      </c>
    </row>
    <row r="43" spans="1:12" x14ac:dyDescent="0.75">
      <c r="A43" s="12" t="s">
        <v>235</v>
      </c>
      <c r="B43" s="12" t="s">
        <v>208</v>
      </c>
      <c r="C43" s="12" t="s">
        <v>180</v>
      </c>
      <c r="D43" s="21">
        <v>0.8</v>
      </c>
      <c r="E43" s="21">
        <v>0.3</v>
      </c>
      <c r="F43" s="21">
        <v>2.9999999999999997E-4</v>
      </c>
      <c r="G43" s="21">
        <v>4.0000000000000002E-4</v>
      </c>
      <c r="H43" s="21">
        <v>2.0000000000000002E-5</v>
      </c>
      <c r="I43" s="21">
        <v>0.2</v>
      </c>
      <c r="J43" s="21">
        <v>0</v>
      </c>
      <c r="K43" s="21">
        <v>0.08</v>
      </c>
      <c r="L43" s="12" t="s">
        <v>236</v>
      </c>
    </row>
    <row r="44" spans="1:12" x14ac:dyDescent="0.75">
      <c r="A44" s="12" t="s">
        <v>237</v>
      </c>
      <c r="B44" s="12" t="s">
        <v>208</v>
      </c>
      <c r="C44" s="12" t="s">
        <v>180</v>
      </c>
      <c r="D44" s="21">
        <v>-0.3</v>
      </c>
      <c r="E44" s="21">
        <v>-0.2</v>
      </c>
      <c r="F44" s="21">
        <v>-2.0000000000000001E-4</v>
      </c>
      <c r="G44" s="21">
        <v>-2.0000000000000001E-4</v>
      </c>
      <c r="H44" s="21">
        <v>-1.0000000000000001E-5</v>
      </c>
      <c r="I44" s="21">
        <v>-0.05</v>
      </c>
      <c r="J44" s="21">
        <v>0</v>
      </c>
      <c r="K44" s="21">
        <v>-0.02</v>
      </c>
      <c r="L44" s="12" t="s">
        <v>209</v>
      </c>
    </row>
    <row r="45" spans="1:12" x14ac:dyDescent="0.75">
      <c r="A45" s="12" t="s">
        <v>238</v>
      </c>
      <c r="B45" s="12" t="s">
        <v>208</v>
      </c>
      <c r="C45" s="12" t="s">
        <v>180</v>
      </c>
      <c r="D45" s="21">
        <v>1.5</v>
      </c>
      <c r="E45" s="21">
        <v>0.4</v>
      </c>
      <c r="F45" s="21">
        <v>5.0000000000000001E-4</v>
      </c>
      <c r="G45" s="21">
        <v>8.0000000000000004E-4</v>
      </c>
      <c r="H45" s="21">
        <v>2.0000000000000002E-5</v>
      </c>
      <c r="I45" s="21">
        <v>0.2</v>
      </c>
      <c r="J45" s="21">
        <v>0</v>
      </c>
      <c r="K45" s="21">
        <v>0.05</v>
      </c>
      <c r="L45" s="12" t="s">
        <v>211</v>
      </c>
    </row>
    <row r="46" spans="1:12" x14ac:dyDescent="0.75">
      <c r="A46" s="12" t="s">
        <v>239</v>
      </c>
      <c r="B46" s="12" t="s">
        <v>208</v>
      </c>
      <c r="C46" s="12" t="s">
        <v>180</v>
      </c>
      <c r="D46" s="21">
        <v>0.4</v>
      </c>
      <c r="E46" s="21">
        <v>0.1</v>
      </c>
      <c r="F46" s="21">
        <v>1E-4</v>
      </c>
      <c r="G46" s="21">
        <v>2.0000000000000001E-4</v>
      </c>
      <c r="H46" s="21">
        <v>1.0000000000000001E-5</v>
      </c>
      <c r="I46" s="21">
        <v>0.08</v>
      </c>
      <c r="J46" s="21">
        <v>0</v>
      </c>
      <c r="K46" s="21">
        <v>0.03</v>
      </c>
      <c r="L46" s="12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57"/>
  <sheetViews>
    <sheetView showGridLines="0" workbookViewId="0">
      <selection activeCell="D1" sqref="D1"/>
    </sheetView>
  </sheetViews>
  <sheetFormatPr defaultRowHeight="14.75" x14ac:dyDescent="0.75"/>
  <cols>
    <col min="1" max="1" width="12" customWidth="1"/>
    <col min="2" max="2" width="18" customWidth="1"/>
    <col min="3" max="3" width="16" customWidth="1"/>
    <col min="4" max="6" width="14" customWidth="1"/>
    <col min="7" max="8" width="12" customWidth="1"/>
    <col min="9" max="9" width="16" customWidth="1"/>
    <col min="10" max="10" width="12" customWidth="1"/>
    <col min="11" max="11" width="18" customWidth="1"/>
    <col min="12" max="19" width="10" customWidth="1"/>
    <col min="20" max="27" width="12" customWidth="1"/>
  </cols>
  <sheetData>
    <row r="1" spans="1:27" ht="111" x14ac:dyDescent="0.75">
      <c r="A1" s="23" t="s">
        <v>21</v>
      </c>
      <c r="B1" s="23"/>
    </row>
    <row r="5" spans="1:27" ht="29.5" x14ac:dyDescent="0.75">
      <c r="A5" s="11" t="s">
        <v>291</v>
      </c>
      <c r="B5" s="11" t="s">
        <v>121</v>
      </c>
      <c r="C5" s="11" t="s">
        <v>292</v>
      </c>
      <c r="D5" s="11" t="s">
        <v>293</v>
      </c>
      <c r="E5" s="11" t="s">
        <v>294</v>
      </c>
      <c r="F5" s="11" t="s">
        <v>295</v>
      </c>
      <c r="G5" s="11" t="s">
        <v>296</v>
      </c>
      <c r="H5" s="11" t="s">
        <v>240</v>
      </c>
      <c r="I5" s="11" t="s">
        <v>297</v>
      </c>
      <c r="J5" s="11" t="s">
        <v>298</v>
      </c>
      <c r="K5" s="11" t="s">
        <v>299</v>
      </c>
      <c r="L5" s="11" t="s">
        <v>300</v>
      </c>
      <c r="M5" s="11" t="s">
        <v>301</v>
      </c>
      <c r="N5" s="11" t="s">
        <v>302</v>
      </c>
      <c r="O5" s="11" t="s">
        <v>303</v>
      </c>
      <c r="P5" s="11" t="s">
        <v>304</v>
      </c>
      <c r="Q5" s="11" t="s">
        <v>305</v>
      </c>
      <c r="R5" s="11" t="s">
        <v>306</v>
      </c>
      <c r="S5" s="11" t="s">
        <v>307</v>
      </c>
      <c r="T5" s="11" t="s">
        <v>308</v>
      </c>
      <c r="U5" s="11" t="s">
        <v>309</v>
      </c>
      <c r="V5" s="11" t="s">
        <v>310</v>
      </c>
      <c r="W5" s="11" t="s">
        <v>311</v>
      </c>
      <c r="X5" s="11" t="s">
        <v>312</v>
      </c>
      <c r="Y5" s="11" t="s">
        <v>313</v>
      </c>
      <c r="Z5" s="11" t="s">
        <v>314</v>
      </c>
      <c r="AA5" s="11" t="s">
        <v>315</v>
      </c>
    </row>
    <row r="6" spans="1:27" x14ac:dyDescent="0.75">
      <c r="A6" s="7" t="str">
        <f>Materials!A6</f>
        <v>FUS</v>
      </c>
      <c r="B6" s="7" t="str">
        <f>Materials!B6</f>
        <v>CFRP</v>
      </c>
      <c r="C6" s="7" t="str">
        <f>Materials!C6</f>
        <v>Composite</v>
      </c>
      <c r="D6" s="15">
        <f>IFERROR(VLOOKUP(A6,Assemblies!$A$6:$N$11,6,FALSE),0)</f>
        <v>2871</v>
      </c>
      <c r="E6" s="20">
        <f>Materials!E6</f>
        <v>0.81678857540926508</v>
      </c>
      <c r="F6" s="24">
        <f t="shared" ref="F6:F53" si="0">D6*E6</f>
        <v>2345</v>
      </c>
      <c r="G6" s="7" t="str">
        <f>Materials!F6</f>
        <v>Estimated</v>
      </c>
      <c r="H6" s="19">
        <f>IFERROR(VLOOKUP(G6,Data [1]Quality!$A$6:$D$9,3,FALSE),0)</f>
        <v>0</v>
      </c>
      <c r="I6" s="24">
        <f t="shared" ref="I6:I53" si="1">F6*H6</f>
        <v>0</v>
      </c>
      <c r="J6" s="7" t="str">
        <f>Materials!H6</f>
        <v>N</v>
      </c>
      <c r="K6" s="7" t="str">
        <f t="shared" ref="K6:K53" si="2">"Raw_"&amp;B6</f>
        <v>Raw_CFRP</v>
      </c>
      <c r="L6" s="22">
        <f>IFERROR(VLOOKUP($K6,'OpenLCA Factors'!$A$6:$L$200,4,FALSE),0)</f>
        <v>20</v>
      </c>
      <c r="M6" s="22">
        <f>IFERROR(VLOOKUP($K6,'OpenLCA Factors'!$A$6:$L$200,5,FALSE),0)</f>
        <v>15</v>
      </c>
      <c r="N6" s="22">
        <f>IFERROR(VLOOKUP($K6,'OpenLCA Factors'!$A$6:$L$200,6,FALSE),0)</f>
        <v>0.02</v>
      </c>
      <c r="O6" s="22">
        <f>IFERROR(VLOOKUP($K6,'OpenLCA Factors'!$A$6:$L$200,7,FALSE),0)</f>
        <v>0.03</v>
      </c>
      <c r="P6" s="22">
        <f>IFERROR(VLOOKUP($K6,'OpenLCA Factors'!$A$6:$L$200,8,FALSE),0)</f>
        <v>1.1999999999999999E-3</v>
      </c>
      <c r="Q6" s="22">
        <f>IFERROR(VLOOKUP($K6,'OpenLCA Factors'!$A$6:$L$200,9,FALSE),0)</f>
        <v>6</v>
      </c>
      <c r="R6" s="22">
        <f>IFERROR(VLOOKUP($K6,'OpenLCA Factors'!$A$6:$L$200,10,FALSE),0)</f>
        <v>0.1</v>
      </c>
      <c r="S6" s="22">
        <f>IFERROR(VLOOKUP($K6,'OpenLCA Factors'!$A$6:$L$200,11,FALSE),0)</f>
        <v>4</v>
      </c>
      <c r="T6" s="25">
        <f t="shared" ref="T6:T53" si="3">F6*L6</f>
        <v>46900</v>
      </c>
      <c r="U6" s="25">
        <f t="shared" ref="U6:U53" si="4">F6*M6</f>
        <v>35175</v>
      </c>
      <c r="V6" s="25">
        <f t="shared" ref="V6:V53" si="5">F6*N6</f>
        <v>46.9</v>
      </c>
      <c r="W6" s="25">
        <f t="shared" ref="W6:W53" si="6">F6*O6</f>
        <v>70.349999999999994</v>
      </c>
      <c r="X6" s="25">
        <f t="shared" ref="X6:X53" si="7">F6*P6</f>
        <v>2.8139999999999996</v>
      </c>
      <c r="Y6" s="25">
        <f t="shared" ref="Y6:Y53" si="8">F6*Q6</f>
        <v>14070</v>
      </c>
      <c r="Z6" s="25">
        <f t="shared" ref="Z6:Z53" si="9">F6*R6</f>
        <v>234.5</v>
      </c>
      <c r="AA6" s="25">
        <f t="shared" ref="AA6:AA53" si="10">F6*S6</f>
        <v>9380</v>
      </c>
    </row>
    <row r="7" spans="1:27" x14ac:dyDescent="0.75">
      <c r="A7" s="7" t="str">
        <f>Materials!A7</f>
        <v>FUS</v>
      </c>
      <c r="B7" s="7" t="str">
        <f>Materials!B7</f>
        <v>GFRP</v>
      </c>
      <c r="C7" s="7" t="str">
        <f>Materials!C7</f>
        <v>Composite</v>
      </c>
      <c r="D7" s="15">
        <f>IFERROR(VLOOKUP(A7,Assemblies!$A$6:$N$11,6,FALSE),0)</f>
        <v>2871</v>
      </c>
      <c r="E7" s="20">
        <f>Materials!E7</f>
        <v>0.11424590734935559</v>
      </c>
      <c r="F7" s="24">
        <f t="shared" si="0"/>
        <v>327.99999999999989</v>
      </c>
      <c r="G7" s="7" t="str">
        <f>Materials!F7</f>
        <v>Estimated</v>
      </c>
      <c r="H7" s="19">
        <f>IFERROR(VLOOKUP(G7,'Data Quality'!$A$6:$D$9,3,FALSE),0)</f>
        <v>0.1</v>
      </c>
      <c r="I7" s="24">
        <f t="shared" si="1"/>
        <v>32.79999999999999</v>
      </c>
      <c r="J7" s="7" t="str">
        <f>Materials!H7</f>
        <v>N</v>
      </c>
      <c r="K7" s="7" t="str">
        <f t="shared" si="2"/>
        <v>Raw_GFRP</v>
      </c>
      <c r="L7" s="22">
        <f>IFERROR(VLOOKUP($K7,'OpenLCA Factors'!$A$6:$L$200,4,FALSE),0)</f>
        <v>5</v>
      </c>
      <c r="M7" s="22">
        <f>IFERROR(VLOOKUP($K7,'OpenLCA Factors'!$A$6:$L$200,5,FALSE),0)</f>
        <v>4</v>
      </c>
      <c r="N7" s="22">
        <f>IFERROR(VLOOKUP($K7,'OpenLCA Factors'!$A$6:$L$200,6,FALSE),0)</f>
        <v>6.0000000000000001E-3</v>
      </c>
      <c r="O7" s="22">
        <f>IFERROR(VLOOKUP($K7,'OpenLCA Factors'!$A$6:$L$200,7,FALSE),0)</f>
        <v>8.0000000000000002E-3</v>
      </c>
      <c r="P7" s="22">
        <f>IFERROR(VLOOKUP($K7,'OpenLCA Factors'!$A$6:$L$200,8,FALSE),0)</f>
        <v>4.0000000000000002E-4</v>
      </c>
      <c r="Q7" s="22">
        <f>IFERROR(VLOOKUP($K7,'OpenLCA Factors'!$A$6:$L$200,9,FALSE),0)</f>
        <v>1.2</v>
      </c>
      <c r="R7" s="22">
        <f>IFERROR(VLOOKUP($K7,'OpenLCA Factors'!$A$6:$L$200,10,FALSE),0)</f>
        <v>0.03</v>
      </c>
      <c r="S7" s="22">
        <f>IFERROR(VLOOKUP($K7,'OpenLCA Factors'!$A$6:$L$200,11,FALSE),0)</f>
        <v>0.8</v>
      </c>
      <c r="T7" s="25">
        <f t="shared" si="3"/>
        <v>1639.9999999999995</v>
      </c>
      <c r="U7" s="25">
        <f t="shared" si="4"/>
        <v>1311.9999999999995</v>
      </c>
      <c r="V7" s="25">
        <f t="shared" si="5"/>
        <v>1.9679999999999993</v>
      </c>
      <c r="W7" s="25">
        <f t="shared" si="6"/>
        <v>2.6239999999999992</v>
      </c>
      <c r="X7" s="25">
        <f t="shared" si="7"/>
        <v>0.13119999999999996</v>
      </c>
      <c r="Y7" s="25">
        <f t="shared" si="8"/>
        <v>393.59999999999985</v>
      </c>
      <c r="Z7" s="25">
        <f t="shared" si="9"/>
        <v>9.8399999999999963</v>
      </c>
      <c r="AA7" s="25">
        <f t="shared" si="10"/>
        <v>262.39999999999992</v>
      </c>
    </row>
    <row r="8" spans="1:27" x14ac:dyDescent="0.75">
      <c r="A8" s="7" t="str">
        <f>Materials!A8</f>
        <v>FUS</v>
      </c>
      <c r="B8" s="7" t="str">
        <f>Materials!B8</f>
        <v>Titanium</v>
      </c>
      <c r="C8" s="7" t="str">
        <f>Materials!C8</f>
        <v>Metal</v>
      </c>
      <c r="D8" s="15">
        <f>IFERROR(VLOOKUP(A8,Assemblies!$A$6:$N$11,6,FALSE),0)</f>
        <v>2871</v>
      </c>
      <c r="E8" s="20">
        <f>Materials!E8</f>
        <v>2.8039010797631492E-2</v>
      </c>
      <c r="F8" s="24">
        <f t="shared" si="0"/>
        <v>80.500000000000014</v>
      </c>
      <c r="G8" s="7" t="str">
        <f>Materials!F8</f>
        <v>Estimated</v>
      </c>
      <c r="H8" s="19">
        <f>IFERROR(VLOOKUP(G8,'Data Quality'!$A$6:$D$9,3,FALSE),0)</f>
        <v>0.1</v>
      </c>
      <c r="I8" s="24">
        <f t="shared" si="1"/>
        <v>8.0500000000000025</v>
      </c>
      <c r="J8" s="7" t="str">
        <f>Materials!H8</f>
        <v>N</v>
      </c>
      <c r="K8" s="7" t="str">
        <f t="shared" si="2"/>
        <v>Raw_Titanium</v>
      </c>
      <c r="L8" s="22">
        <f>IFERROR(VLOOKUP($K8,'OpenLCA Factors'!$A$6:$L$200,4,FALSE),0)</f>
        <v>35</v>
      </c>
      <c r="M8" s="22">
        <f>IFERROR(VLOOKUP($K8,'OpenLCA Factors'!$A$6:$L$200,5,FALSE),0)</f>
        <v>12</v>
      </c>
      <c r="N8" s="22">
        <f>IFERROR(VLOOKUP($K8,'OpenLCA Factors'!$A$6:$L$200,6,FALSE),0)</f>
        <v>0.02</v>
      </c>
      <c r="O8" s="22">
        <f>IFERROR(VLOOKUP($K8,'OpenLCA Factors'!$A$6:$L$200,7,FALSE),0)</f>
        <v>2.5000000000000001E-2</v>
      </c>
      <c r="P8" s="22">
        <f>IFERROR(VLOOKUP($K8,'OpenLCA Factors'!$A$6:$L$200,8,FALSE),0)</f>
        <v>8.0000000000000004E-4</v>
      </c>
      <c r="Q8" s="22">
        <f>IFERROR(VLOOKUP($K8,'OpenLCA Factors'!$A$6:$L$200,9,FALSE),0)</f>
        <v>8.5</v>
      </c>
      <c r="R8" s="22">
        <f>IFERROR(VLOOKUP($K8,'OpenLCA Factors'!$A$6:$L$200,10,FALSE),0)</f>
        <v>0.08</v>
      </c>
      <c r="S8" s="22">
        <f>IFERROR(VLOOKUP($K8,'OpenLCA Factors'!$A$6:$L$200,11,FALSE),0)</f>
        <v>5.5</v>
      </c>
      <c r="T8" s="25">
        <f t="shared" si="3"/>
        <v>2817.5000000000005</v>
      </c>
      <c r="U8" s="25">
        <f t="shared" si="4"/>
        <v>966.00000000000023</v>
      </c>
      <c r="V8" s="25">
        <f t="shared" si="5"/>
        <v>1.6100000000000003</v>
      </c>
      <c r="W8" s="25">
        <f t="shared" si="6"/>
        <v>2.0125000000000006</v>
      </c>
      <c r="X8" s="25">
        <f t="shared" si="7"/>
        <v>6.4400000000000013E-2</v>
      </c>
      <c r="Y8" s="25">
        <f t="shared" si="8"/>
        <v>684.25000000000011</v>
      </c>
      <c r="Z8" s="25">
        <f t="shared" si="9"/>
        <v>6.4400000000000013</v>
      </c>
      <c r="AA8" s="25">
        <f t="shared" si="10"/>
        <v>442.75000000000006</v>
      </c>
    </row>
    <row r="9" spans="1:27" x14ac:dyDescent="0.75">
      <c r="A9" s="7" t="str">
        <f>Materials!A9</f>
        <v>FUS</v>
      </c>
      <c r="B9" s="7" t="str">
        <f>Materials!B9</f>
        <v>NickelSuperalloy</v>
      </c>
      <c r="C9" s="7" t="str">
        <f>Materials!C9</f>
        <v>Metal</v>
      </c>
      <c r="D9" s="15">
        <f>IFERROR(VLOOKUP(A9,Assemblies!$A$6:$N$11,6,FALSE),0)</f>
        <v>2871</v>
      </c>
      <c r="E9" s="20">
        <f>Materials!E9</f>
        <v>0</v>
      </c>
      <c r="F9" s="24">
        <f t="shared" si="0"/>
        <v>0</v>
      </c>
      <c r="G9" s="7" t="str">
        <f>Materials!F9</f>
        <v>Estimated</v>
      </c>
      <c r="H9" s="19">
        <f>IFERROR(VLOOKUP(G9,'Data Quality'!$A$6:$D$9,3,FALSE),0)</f>
        <v>0.1</v>
      </c>
      <c r="I9" s="24">
        <f t="shared" si="1"/>
        <v>0</v>
      </c>
      <c r="J9" s="7" t="str">
        <f>Materials!H9</f>
        <v>N</v>
      </c>
      <c r="K9" s="7" t="str">
        <f t="shared" si="2"/>
        <v>Raw_NickelSuperalloy</v>
      </c>
      <c r="L9" s="22">
        <f>IFERROR(VLOOKUP($K9,'OpenLCA Factors'!$A$6:$L$200,4,FALSE),0)</f>
        <v>28</v>
      </c>
      <c r="M9" s="22">
        <f>IFERROR(VLOOKUP($K9,'OpenLCA Factors'!$A$6:$L$200,5,FALSE),0)</f>
        <v>10</v>
      </c>
      <c r="N9" s="22">
        <f>IFERROR(VLOOKUP($K9,'OpenLCA Factors'!$A$6:$L$200,6,FALSE),0)</f>
        <v>1.7999999999999999E-2</v>
      </c>
      <c r="O9" s="22">
        <f>IFERROR(VLOOKUP($K9,'OpenLCA Factors'!$A$6:$L$200,7,FALSE),0)</f>
        <v>0.02</v>
      </c>
      <c r="P9" s="22">
        <f>IFERROR(VLOOKUP($K9,'OpenLCA Factors'!$A$6:$L$200,8,FALSE),0)</f>
        <v>6.9999999999999999E-4</v>
      </c>
      <c r="Q9" s="22">
        <f>IFERROR(VLOOKUP($K9,'OpenLCA Factors'!$A$6:$L$200,9,FALSE),0)</f>
        <v>12</v>
      </c>
      <c r="R9" s="22">
        <f>IFERROR(VLOOKUP($K9,'OpenLCA Factors'!$A$6:$L$200,10,FALSE),0)</f>
        <v>0.06</v>
      </c>
      <c r="S9" s="22">
        <f>IFERROR(VLOOKUP($K9,'OpenLCA Factors'!$A$6:$L$200,11,FALSE),0)</f>
        <v>6.2</v>
      </c>
      <c r="T9" s="25">
        <f t="shared" si="3"/>
        <v>0</v>
      </c>
      <c r="U9" s="25">
        <f t="shared" si="4"/>
        <v>0</v>
      </c>
      <c r="V9" s="25">
        <f t="shared" si="5"/>
        <v>0</v>
      </c>
      <c r="W9" s="25">
        <f t="shared" si="6"/>
        <v>0</v>
      </c>
      <c r="X9" s="25">
        <f t="shared" si="7"/>
        <v>0</v>
      </c>
      <c r="Y9" s="25">
        <f t="shared" si="8"/>
        <v>0</v>
      </c>
      <c r="Z9" s="25">
        <f t="shared" si="9"/>
        <v>0</v>
      </c>
      <c r="AA9" s="25">
        <f t="shared" si="10"/>
        <v>0</v>
      </c>
    </row>
    <row r="10" spans="1:27" x14ac:dyDescent="0.75">
      <c r="A10" s="7" t="str">
        <f>Materials!A10</f>
        <v>FUS</v>
      </c>
      <c r="B10" s="7" t="str">
        <f>Materials!B10</f>
        <v>Steel</v>
      </c>
      <c r="C10" s="7" t="str">
        <f>Materials!C10</f>
        <v>Metal</v>
      </c>
      <c r="D10" s="15">
        <f>IFERROR(VLOOKUP(A10,Assemblies!$A$6:$N$11,6,FALSE),0)</f>
        <v>2871</v>
      </c>
      <c r="E10" s="20">
        <f>Materials!E10</f>
        <v>0</v>
      </c>
      <c r="F10" s="24">
        <f t="shared" si="0"/>
        <v>0</v>
      </c>
      <c r="G10" s="7" t="str">
        <f>Materials!F10</f>
        <v>Estimated</v>
      </c>
      <c r="H10" s="19">
        <f>IFERROR(VLOOKUP(G10,'Data Quality'!$A$6:$D$9,3,FALSE),0)</f>
        <v>0.1</v>
      </c>
      <c r="I10" s="24">
        <f t="shared" si="1"/>
        <v>0</v>
      </c>
      <c r="J10" s="7" t="str">
        <f>Materials!H10</f>
        <v>N</v>
      </c>
      <c r="K10" s="7" t="str">
        <f t="shared" si="2"/>
        <v>Raw_Steel</v>
      </c>
      <c r="L10" s="22">
        <f>IFERROR(VLOOKUP($K10,'OpenLCA Factors'!$A$6:$L$200,4,FALSE),0)</f>
        <v>2.5</v>
      </c>
      <c r="M10" s="22">
        <f>IFERROR(VLOOKUP($K10,'OpenLCA Factors'!$A$6:$L$200,5,FALSE),0)</f>
        <v>2</v>
      </c>
      <c r="N10" s="22">
        <f>IFERROR(VLOOKUP($K10,'OpenLCA Factors'!$A$6:$L$200,6,FALSE),0)</f>
        <v>3.0000000000000001E-3</v>
      </c>
      <c r="O10" s="22">
        <f>IFERROR(VLOOKUP($K10,'OpenLCA Factors'!$A$6:$L$200,7,FALSE),0)</f>
        <v>4.0000000000000001E-3</v>
      </c>
      <c r="P10" s="22">
        <f>IFERROR(VLOOKUP($K10,'OpenLCA Factors'!$A$6:$L$200,8,FALSE),0)</f>
        <v>2.0000000000000001E-4</v>
      </c>
      <c r="Q10" s="22">
        <f>IFERROR(VLOOKUP($K10,'OpenLCA Factors'!$A$6:$L$200,9,FALSE),0)</f>
        <v>0.9</v>
      </c>
      <c r="R10" s="22">
        <f>IFERROR(VLOOKUP($K10,'OpenLCA Factors'!$A$6:$L$200,10,FALSE),0)</f>
        <v>0.02</v>
      </c>
      <c r="S10" s="22">
        <f>IFERROR(VLOOKUP($K10,'OpenLCA Factors'!$A$6:$L$200,11,FALSE),0)</f>
        <v>0.5</v>
      </c>
      <c r="T10" s="25">
        <f t="shared" si="3"/>
        <v>0</v>
      </c>
      <c r="U10" s="25">
        <f t="shared" si="4"/>
        <v>0</v>
      </c>
      <c r="V10" s="25">
        <f t="shared" si="5"/>
        <v>0</v>
      </c>
      <c r="W10" s="25">
        <f t="shared" si="6"/>
        <v>0</v>
      </c>
      <c r="X10" s="25">
        <f t="shared" si="7"/>
        <v>0</v>
      </c>
      <c r="Y10" s="25">
        <f t="shared" si="8"/>
        <v>0</v>
      </c>
      <c r="Z10" s="25">
        <f t="shared" si="9"/>
        <v>0</v>
      </c>
      <c r="AA10" s="25">
        <f t="shared" si="10"/>
        <v>0</v>
      </c>
    </row>
    <row r="11" spans="1:27" x14ac:dyDescent="0.75">
      <c r="A11" s="7" t="str">
        <f>Materials!A11</f>
        <v>FUS</v>
      </c>
      <c r="B11" s="7" t="str">
        <f>Materials!B11</f>
        <v>Aluminium</v>
      </c>
      <c r="C11" s="7" t="str">
        <f>Materials!C11</f>
        <v>Metal</v>
      </c>
      <c r="D11" s="15">
        <f>IFERROR(VLOOKUP(A11,Assemblies!$A$6:$N$11,6,FALSE),0)</f>
        <v>2871</v>
      </c>
      <c r="E11" s="20">
        <f>Materials!E11</f>
        <v>2.8039010797631492E-2</v>
      </c>
      <c r="F11" s="24">
        <f t="shared" si="0"/>
        <v>80.500000000000014</v>
      </c>
      <c r="G11" s="7" t="str">
        <f>Materials!F11</f>
        <v>Estimated</v>
      </c>
      <c r="H11" s="19">
        <f>IFERROR(VLOOKUP(G11,'Data Quality'!$A$6:$D$9,3,FALSE),0)</f>
        <v>0.1</v>
      </c>
      <c r="I11" s="24">
        <f t="shared" si="1"/>
        <v>8.0500000000000025</v>
      </c>
      <c r="J11" s="7" t="str">
        <f>Materials!H11</f>
        <v>N</v>
      </c>
      <c r="K11" s="7" t="str">
        <f t="shared" si="2"/>
        <v>Raw_Aluminium</v>
      </c>
      <c r="L11" s="22">
        <f>IFERROR(VLOOKUP($K11,'OpenLCA Factors'!$A$6:$L$200,4,FALSE),0)</f>
        <v>10</v>
      </c>
      <c r="M11" s="22">
        <f>IFERROR(VLOOKUP($K11,'OpenLCA Factors'!$A$6:$L$200,5,FALSE),0)</f>
        <v>7</v>
      </c>
      <c r="N11" s="22">
        <f>IFERROR(VLOOKUP($K11,'OpenLCA Factors'!$A$6:$L$200,6,FALSE),0)</f>
        <v>0.01</v>
      </c>
      <c r="O11" s="22">
        <f>IFERROR(VLOOKUP($K11,'OpenLCA Factors'!$A$6:$L$200,7,FALSE),0)</f>
        <v>1.2E-2</v>
      </c>
      <c r="P11" s="22">
        <f>IFERROR(VLOOKUP($K11,'OpenLCA Factors'!$A$6:$L$200,8,FALSE),0)</f>
        <v>5.0000000000000001E-4</v>
      </c>
      <c r="Q11" s="22">
        <f>IFERROR(VLOOKUP($K11,'OpenLCA Factors'!$A$6:$L$200,9,FALSE),0)</f>
        <v>2.5</v>
      </c>
      <c r="R11" s="22">
        <f>IFERROR(VLOOKUP($K11,'OpenLCA Factors'!$A$6:$L$200,10,FALSE),0)</f>
        <v>0.04</v>
      </c>
      <c r="S11" s="22">
        <f>IFERROR(VLOOKUP($K11,'OpenLCA Factors'!$A$6:$L$200,11,FALSE),0)</f>
        <v>1.6</v>
      </c>
      <c r="T11" s="25">
        <f t="shared" si="3"/>
        <v>805.00000000000011</v>
      </c>
      <c r="U11" s="25">
        <f t="shared" si="4"/>
        <v>563.50000000000011</v>
      </c>
      <c r="V11" s="25">
        <f t="shared" si="5"/>
        <v>0.80500000000000016</v>
      </c>
      <c r="W11" s="25">
        <f t="shared" si="6"/>
        <v>0.96600000000000019</v>
      </c>
      <c r="X11" s="25">
        <f t="shared" si="7"/>
        <v>4.0250000000000008E-2</v>
      </c>
      <c r="Y11" s="25">
        <f t="shared" si="8"/>
        <v>201.25000000000003</v>
      </c>
      <c r="Z11" s="25">
        <f t="shared" si="9"/>
        <v>3.2200000000000006</v>
      </c>
      <c r="AA11" s="25">
        <f t="shared" si="10"/>
        <v>128.80000000000004</v>
      </c>
    </row>
    <row r="12" spans="1:27" x14ac:dyDescent="0.75">
      <c r="A12" s="7" t="str">
        <f>Materials!A12</f>
        <v>FUS</v>
      </c>
      <c r="B12" s="7" t="str">
        <f>Materials!B12</f>
        <v>Electronics</v>
      </c>
      <c r="C12" s="7" t="str">
        <f>Materials!C12</f>
        <v>Electronics</v>
      </c>
      <c r="D12" s="15">
        <f>IFERROR(VLOOKUP(A12,Assemblies!$A$6:$N$11,6,FALSE),0)</f>
        <v>2871</v>
      </c>
      <c r="E12" s="20">
        <f>Materials!E12</f>
        <v>0</v>
      </c>
      <c r="F12" s="24">
        <f t="shared" si="0"/>
        <v>0</v>
      </c>
      <c r="G12" s="7" t="str">
        <f>Materials!F12</f>
        <v>Estimated</v>
      </c>
      <c r="H12" s="19">
        <f>IFERROR(VLOOKUP(G12,'Data Quality'!$A$6:$D$9,3,FALSE),0)</f>
        <v>0.1</v>
      </c>
      <c r="I12" s="24">
        <f t="shared" si="1"/>
        <v>0</v>
      </c>
      <c r="J12" s="7" t="str">
        <f>Materials!H12</f>
        <v>N</v>
      </c>
      <c r="K12" s="7" t="str">
        <f t="shared" si="2"/>
        <v>Raw_Electronics</v>
      </c>
      <c r="L12" s="22">
        <f>IFERROR(VLOOKUP($K12,'OpenLCA Factors'!$A$6:$L$200,4,FALSE),0)</f>
        <v>30</v>
      </c>
      <c r="M12" s="22">
        <f>IFERROR(VLOOKUP($K12,'OpenLCA Factors'!$A$6:$L$200,5,FALSE),0)</f>
        <v>18</v>
      </c>
      <c r="N12" s="22">
        <f>IFERROR(VLOOKUP($K12,'OpenLCA Factors'!$A$6:$L$200,6,FALSE),0)</f>
        <v>2.5000000000000001E-2</v>
      </c>
      <c r="O12" s="22">
        <f>IFERROR(VLOOKUP($K12,'OpenLCA Factors'!$A$6:$L$200,7,FALSE),0)</f>
        <v>1.7999999999999999E-2</v>
      </c>
      <c r="P12" s="22">
        <f>IFERROR(VLOOKUP($K12,'OpenLCA Factors'!$A$6:$L$200,8,FALSE),0)</f>
        <v>8.9999999999999998E-4</v>
      </c>
      <c r="Q12" s="22">
        <f>IFERROR(VLOOKUP($K12,'OpenLCA Factors'!$A$6:$L$200,9,FALSE),0)</f>
        <v>25</v>
      </c>
      <c r="R12" s="22">
        <f>IFERROR(VLOOKUP($K12,'OpenLCA Factors'!$A$6:$L$200,10,FALSE),0)</f>
        <v>0.05</v>
      </c>
      <c r="S12" s="22">
        <f>IFERROR(VLOOKUP($K12,'OpenLCA Factors'!$A$6:$L$200,11,FALSE),0)</f>
        <v>10</v>
      </c>
      <c r="T12" s="25">
        <f t="shared" si="3"/>
        <v>0</v>
      </c>
      <c r="U12" s="25">
        <f t="shared" si="4"/>
        <v>0</v>
      </c>
      <c r="V12" s="25">
        <f t="shared" si="5"/>
        <v>0</v>
      </c>
      <c r="W12" s="25">
        <f t="shared" si="6"/>
        <v>0</v>
      </c>
      <c r="X12" s="25">
        <f t="shared" si="7"/>
        <v>0</v>
      </c>
      <c r="Y12" s="25">
        <f t="shared" si="8"/>
        <v>0</v>
      </c>
      <c r="Z12" s="25">
        <f t="shared" si="9"/>
        <v>0</v>
      </c>
      <c r="AA12" s="25">
        <f t="shared" si="10"/>
        <v>0</v>
      </c>
    </row>
    <row r="13" spans="1:27" x14ac:dyDescent="0.75">
      <c r="A13" s="7" t="str">
        <f>Materials!A13</f>
        <v>FUS</v>
      </c>
      <c r="B13" s="7" t="str">
        <f>Materials!B13</f>
        <v>Other</v>
      </c>
      <c r="C13" s="7" t="str">
        <f>Materials!C13</f>
        <v>Other</v>
      </c>
      <c r="D13" s="15">
        <f>IFERROR(VLOOKUP(A13,Assemblies!$A$6:$N$11,6,FALSE),0)</f>
        <v>2871</v>
      </c>
      <c r="E13" s="20">
        <f>Materials!E13</f>
        <v>1.288749564611634E-2</v>
      </c>
      <c r="F13" s="24">
        <f t="shared" si="0"/>
        <v>37.000000000000014</v>
      </c>
      <c r="G13" s="7" t="str">
        <f>Materials!F13</f>
        <v>Estimated</v>
      </c>
      <c r="H13" s="19">
        <f>IFERROR(VLOOKUP(G13,'Data Quality'!$A$6:$D$9,3,FALSE),0)</f>
        <v>0.1</v>
      </c>
      <c r="I13" s="24">
        <f t="shared" si="1"/>
        <v>3.7000000000000015</v>
      </c>
      <c r="J13" s="7" t="str">
        <f>Materials!H13</f>
        <v>N</v>
      </c>
      <c r="K13" s="7" t="str">
        <f t="shared" si="2"/>
        <v>Raw_Other</v>
      </c>
      <c r="L13" s="22">
        <f>IFERROR(VLOOKUP($K13,'OpenLCA Factors'!$A$6:$L$200,4,FALSE),0)</f>
        <v>4</v>
      </c>
      <c r="M13" s="22">
        <f>IFERROR(VLOOKUP($K13,'OpenLCA Factors'!$A$6:$L$200,5,FALSE),0)</f>
        <v>3</v>
      </c>
      <c r="N13" s="22">
        <f>IFERROR(VLOOKUP($K13,'OpenLCA Factors'!$A$6:$L$200,6,FALSE),0)</f>
        <v>4.0000000000000001E-3</v>
      </c>
      <c r="O13" s="22">
        <f>IFERROR(VLOOKUP($K13,'OpenLCA Factors'!$A$6:$L$200,7,FALSE),0)</f>
        <v>5.0000000000000001E-3</v>
      </c>
      <c r="P13" s="22">
        <f>IFERROR(VLOOKUP($K13,'OpenLCA Factors'!$A$6:$L$200,8,FALSE),0)</f>
        <v>2.0000000000000001E-4</v>
      </c>
      <c r="Q13" s="22">
        <f>IFERROR(VLOOKUP($K13,'OpenLCA Factors'!$A$6:$L$200,9,FALSE),0)</f>
        <v>1</v>
      </c>
      <c r="R13" s="22">
        <f>IFERROR(VLOOKUP($K13,'OpenLCA Factors'!$A$6:$L$200,10,FALSE),0)</f>
        <v>0.02</v>
      </c>
      <c r="S13" s="22">
        <f>IFERROR(VLOOKUP($K13,'OpenLCA Factors'!$A$6:$L$200,11,FALSE),0)</f>
        <v>0.7</v>
      </c>
      <c r="T13" s="25">
        <f t="shared" si="3"/>
        <v>148.00000000000006</v>
      </c>
      <c r="U13" s="25">
        <f t="shared" si="4"/>
        <v>111.00000000000004</v>
      </c>
      <c r="V13" s="25">
        <f t="shared" si="5"/>
        <v>0.14800000000000005</v>
      </c>
      <c r="W13" s="25">
        <f t="shared" si="6"/>
        <v>0.18500000000000008</v>
      </c>
      <c r="X13" s="25">
        <f t="shared" si="7"/>
        <v>7.4000000000000029E-3</v>
      </c>
      <c r="Y13" s="25">
        <f t="shared" si="8"/>
        <v>37.000000000000014</v>
      </c>
      <c r="Z13" s="25">
        <f t="shared" si="9"/>
        <v>0.74000000000000032</v>
      </c>
      <c r="AA13" s="25">
        <f t="shared" si="10"/>
        <v>25.900000000000009</v>
      </c>
    </row>
    <row r="14" spans="1:27" x14ac:dyDescent="0.75">
      <c r="A14" s="7" t="str">
        <f>Materials!A14</f>
        <v>WNG</v>
      </c>
      <c r="B14" s="7" t="str">
        <f>Materials!B14</f>
        <v>CFRP</v>
      </c>
      <c r="C14" s="7" t="str">
        <f>Materials!C14</f>
        <v>Composite</v>
      </c>
      <c r="D14" s="15">
        <f>IFERROR(VLOOKUP(A14,Assemblies!$A$6:$N$11,6,FALSE),0)</f>
        <v>3970</v>
      </c>
      <c r="E14" s="20">
        <f>Materials!E14</f>
        <v>0.72972292191435773</v>
      </c>
      <c r="F14" s="24">
        <f t="shared" si="0"/>
        <v>2897</v>
      </c>
      <c r="G14" s="7" t="str">
        <f>Materials!F14</f>
        <v>Estimated</v>
      </c>
      <c r="H14" s="19">
        <f>IFERROR(VLOOKUP(G14,'Data Quality'!$A$6:$D$9,3,FALSE),0)</f>
        <v>0.1</v>
      </c>
      <c r="I14" s="24">
        <f t="shared" si="1"/>
        <v>289.7</v>
      </c>
      <c r="J14" s="7" t="str">
        <f>Materials!H14</f>
        <v>N</v>
      </c>
      <c r="K14" s="7" t="str">
        <f t="shared" si="2"/>
        <v>Raw_CFRP</v>
      </c>
      <c r="L14" s="22">
        <f>IFERROR(VLOOKUP($K14,'OpenLCA Factors'!$A$6:$L$200,4,FALSE),0)</f>
        <v>20</v>
      </c>
      <c r="M14" s="22">
        <f>IFERROR(VLOOKUP($K14,'OpenLCA Factors'!$A$6:$L$200,5,FALSE),0)</f>
        <v>15</v>
      </c>
      <c r="N14" s="22">
        <f>IFERROR(VLOOKUP($K14,'OpenLCA Factors'!$A$6:$L$200,6,FALSE),0)</f>
        <v>0.02</v>
      </c>
      <c r="O14" s="22">
        <f>IFERROR(VLOOKUP($K14,'OpenLCA Factors'!$A$6:$L$200,7,FALSE),0)</f>
        <v>0.03</v>
      </c>
      <c r="P14" s="22">
        <f>IFERROR(VLOOKUP($K14,'OpenLCA Factors'!$A$6:$L$200,8,FALSE),0)</f>
        <v>1.1999999999999999E-3</v>
      </c>
      <c r="Q14" s="22">
        <f>IFERROR(VLOOKUP($K14,'OpenLCA Factors'!$A$6:$L$200,9,FALSE),0)</f>
        <v>6</v>
      </c>
      <c r="R14" s="22">
        <f>IFERROR(VLOOKUP($K14,'OpenLCA Factors'!$A$6:$L$200,10,FALSE),0)</f>
        <v>0.1</v>
      </c>
      <c r="S14" s="22">
        <f>IFERROR(VLOOKUP($K14,'OpenLCA Factors'!$A$6:$L$200,11,FALSE),0)</f>
        <v>4</v>
      </c>
      <c r="T14" s="25">
        <f t="shared" si="3"/>
        <v>57940</v>
      </c>
      <c r="U14" s="25">
        <f t="shared" si="4"/>
        <v>43455</v>
      </c>
      <c r="V14" s="25">
        <f t="shared" si="5"/>
        <v>57.94</v>
      </c>
      <c r="W14" s="25">
        <f t="shared" si="6"/>
        <v>86.91</v>
      </c>
      <c r="X14" s="25">
        <f t="shared" si="7"/>
        <v>3.4763999999999995</v>
      </c>
      <c r="Y14" s="25">
        <f t="shared" si="8"/>
        <v>17382</v>
      </c>
      <c r="Z14" s="25">
        <f t="shared" si="9"/>
        <v>289.7</v>
      </c>
      <c r="AA14" s="25">
        <f t="shared" si="10"/>
        <v>11588</v>
      </c>
    </row>
    <row r="15" spans="1:27" x14ac:dyDescent="0.75">
      <c r="A15" s="7" t="str">
        <f>Materials!A15</f>
        <v>WNG</v>
      </c>
      <c r="B15" s="7" t="str">
        <f>Materials!B15</f>
        <v>GFRP</v>
      </c>
      <c r="C15" s="7" t="str">
        <f>Materials!C15</f>
        <v>Composite</v>
      </c>
      <c r="D15" s="15">
        <f>IFERROR(VLOOKUP(A15,Assemblies!$A$6:$N$11,6,FALSE),0)</f>
        <v>3970</v>
      </c>
      <c r="E15" s="20">
        <f>Materials!E15</f>
        <v>0.11083123425692699</v>
      </c>
      <c r="F15" s="24">
        <f t="shared" si="0"/>
        <v>440.00000000000017</v>
      </c>
      <c r="G15" s="7" t="str">
        <f>Materials!F15</f>
        <v>Estimated</v>
      </c>
      <c r="H15" s="19">
        <f>IFERROR(VLOOKUP(G15,'Data Quality'!$A$6:$D$9,3,FALSE),0)</f>
        <v>0.1</v>
      </c>
      <c r="I15" s="24">
        <f t="shared" si="1"/>
        <v>44.000000000000021</v>
      </c>
      <c r="J15" s="7" t="str">
        <f>Materials!H15</f>
        <v>N</v>
      </c>
      <c r="K15" s="7" t="str">
        <f t="shared" si="2"/>
        <v>Raw_GFRP</v>
      </c>
      <c r="L15" s="22">
        <f>IFERROR(VLOOKUP($K15,'OpenLCA Factors'!$A$6:$L$200,4,FALSE),0)</f>
        <v>5</v>
      </c>
      <c r="M15" s="22">
        <f>IFERROR(VLOOKUP($K15,'OpenLCA Factors'!$A$6:$L$200,5,FALSE),0)</f>
        <v>4</v>
      </c>
      <c r="N15" s="22">
        <f>IFERROR(VLOOKUP($K15,'OpenLCA Factors'!$A$6:$L$200,6,FALSE),0)</f>
        <v>6.0000000000000001E-3</v>
      </c>
      <c r="O15" s="22">
        <f>IFERROR(VLOOKUP($K15,'OpenLCA Factors'!$A$6:$L$200,7,FALSE),0)</f>
        <v>8.0000000000000002E-3</v>
      </c>
      <c r="P15" s="22">
        <f>IFERROR(VLOOKUP($K15,'OpenLCA Factors'!$A$6:$L$200,8,FALSE),0)</f>
        <v>4.0000000000000002E-4</v>
      </c>
      <c r="Q15" s="22">
        <f>IFERROR(VLOOKUP($K15,'OpenLCA Factors'!$A$6:$L$200,9,FALSE),0)</f>
        <v>1.2</v>
      </c>
      <c r="R15" s="22">
        <f>IFERROR(VLOOKUP($K15,'OpenLCA Factors'!$A$6:$L$200,10,FALSE),0)</f>
        <v>0.03</v>
      </c>
      <c r="S15" s="22">
        <f>IFERROR(VLOOKUP($K15,'OpenLCA Factors'!$A$6:$L$200,11,FALSE),0)</f>
        <v>0.8</v>
      </c>
      <c r="T15" s="25">
        <f t="shared" si="3"/>
        <v>2200.0000000000009</v>
      </c>
      <c r="U15" s="25">
        <f t="shared" si="4"/>
        <v>1760.0000000000007</v>
      </c>
      <c r="V15" s="25">
        <f t="shared" si="5"/>
        <v>2.640000000000001</v>
      </c>
      <c r="W15" s="25">
        <f t="shared" si="6"/>
        <v>3.5200000000000014</v>
      </c>
      <c r="X15" s="25">
        <f t="shared" si="7"/>
        <v>0.17600000000000007</v>
      </c>
      <c r="Y15" s="25">
        <f t="shared" si="8"/>
        <v>528.00000000000023</v>
      </c>
      <c r="Z15" s="25">
        <f t="shared" si="9"/>
        <v>13.200000000000005</v>
      </c>
      <c r="AA15" s="25">
        <f t="shared" si="10"/>
        <v>352.00000000000017</v>
      </c>
    </row>
    <row r="16" spans="1:27" x14ac:dyDescent="0.75">
      <c r="A16" s="7" t="str">
        <f>Materials!A16</f>
        <v>WNG</v>
      </c>
      <c r="B16" s="7" t="str">
        <f>Materials!B16</f>
        <v>Titanium</v>
      </c>
      <c r="C16" s="7" t="str">
        <f>Materials!C16</f>
        <v>Metal</v>
      </c>
      <c r="D16" s="15">
        <f>IFERROR(VLOOKUP(A16,Assemblies!$A$6:$N$11,6,FALSE),0)</f>
        <v>3970</v>
      </c>
      <c r="E16" s="20">
        <f>Materials!E16</f>
        <v>0.1216624685138539</v>
      </c>
      <c r="F16" s="24">
        <f t="shared" si="0"/>
        <v>483</v>
      </c>
      <c r="G16" s="7" t="str">
        <f>Materials!F16</f>
        <v>Estimated</v>
      </c>
      <c r="H16" s="19">
        <f>IFERROR(VLOOKUP(G16,'Data Quality'!$A$6:$D$9,3,FALSE),0)</f>
        <v>0.1</v>
      </c>
      <c r="I16" s="24">
        <f t="shared" si="1"/>
        <v>48.300000000000004</v>
      </c>
      <c r="J16" s="7" t="str">
        <f>Materials!H16</f>
        <v>N</v>
      </c>
      <c r="K16" s="7" t="str">
        <f t="shared" si="2"/>
        <v>Raw_Titanium</v>
      </c>
      <c r="L16" s="22">
        <f>IFERROR(VLOOKUP($K16,'OpenLCA Factors'!$A$6:$L$200,4,FALSE),0)</f>
        <v>35</v>
      </c>
      <c r="M16" s="22">
        <f>IFERROR(VLOOKUP($K16,'OpenLCA Factors'!$A$6:$L$200,5,FALSE),0)</f>
        <v>12</v>
      </c>
      <c r="N16" s="22">
        <f>IFERROR(VLOOKUP($K16,'OpenLCA Factors'!$A$6:$L$200,6,FALSE),0)</f>
        <v>0.02</v>
      </c>
      <c r="O16" s="22">
        <f>IFERROR(VLOOKUP($K16,'OpenLCA Factors'!$A$6:$L$200,7,FALSE),0)</f>
        <v>2.5000000000000001E-2</v>
      </c>
      <c r="P16" s="22">
        <f>IFERROR(VLOOKUP($K16,'OpenLCA Factors'!$A$6:$L$200,8,FALSE),0)</f>
        <v>8.0000000000000004E-4</v>
      </c>
      <c r="Q16" s="22">
        <f>IFERROR(VLOOKUP($K16,'OpenLCA Factors'!$A$6:$L$200,9,FALSE),0)</f>
        <v>8.5</v>
      </c>
      <c r="R16" s="22">
        <f>IFERROR(VLOOKUP($K16,'OpenLCA Factors'!$A$6:$L$200,10,FALSE),0)</f>
        <v>0.08</v>
      </c>
      <c r="S16" s="22">
        <f>IFERROR(VLOOKUP($K16,'OpenLCA Factors'!$A$6:$L$200,11,FALSE),0)</f>
        <v>5.5</v>
      </c>
      <c r="T16" s="25">
        <f t="shared" si="3"/>
        <v>16905</v>
      </c>
      <c r="U16" s="25">
        <f t="shared" si="4"/>
        <v>5796</v>
      </c>
      <c r="V16" s="25">
        <f t="shared" si="5"/>
        <v>9.66</v>
      </c>
      <c r="W16" s="25">
        <f t="shared" si="6"/>
        <v>12.075000000000001</v>
      </c>
      <c r="X16" s="25">
        <f t="shared" si="7"/>
        <v>0.38640000000000002</v>
      </c>
      <c r="Y16" s="25">
        <f t="shared" si="8"/>
        <v>4105.5</v>
      </c>
      <c r="Z16" s="25">
        <f t="shared" si="9"/>
        <v>38.64</v>
      </c>
      <c r="AA16" s="25">
        <f t="shared" si="10"/>
        <v>2656.5</v>
      </c>
    </row>
    <row r="17" spans="1:27" x14ac:dyDescent="0.75">
      <c r="A17" s="7" t="str">
        <f>Materials!A17</f>
        <v>WNG</v>
      </c>
      <c r="B17" s="7" t="str">
        <f>Materials!B17</f>
        <v>NickelSuperalloy</v>
      </c>
      <c r="C17" s="7" t="str">
        <f>Materials!C17</f>
        <v>Metal</v>
      </c>
      <c r="D17" s="15">
        <f>IFERROR(VLOOKUP(A17,Assemblies!$A$6:$N$11,6,FALSE),0)</f>
        <v>3970</v>
      </c>
      <c r="E17" s="20">
        <f>Materials!E17</f>
        <v>0</v>
      </c>
      <c r="F17" s="24">
        <f t="shared" si="0"/>
        <v>0</v>
      </c>
      <c r="G17" s="7" t="str">
        <f>Materials!F17</f>
        <v>Estimated</v>
      </c>
      <c r="H17" s="19">
        <f>IFERROR(VLOOKUP(G17,'Data Quality'!$A$6:$D$9,3,FALSE),0)</f>
        <v>0.1</v>
      </c>
      <c r="I17" s="24">
        <f t="shared" si="1"/>
        <v>0</v>
      </c>
      <c r="J17" s="7" t="str">
        <f>Materials!H17</f>
        <v>N</v>
      </c>
      <c r="K17" s="7" t="str">
        <f t="shared" si="2"/>
        <v>Raw_NickelSuperalloy</v>
      </c>
      <c r="L17" s="22">
        <f>IFERROR(VLOOKUP($K17,'OpenLCA Factors'!$A$6:$L$200,4,FALSE),0)</f>
        <v>28</v>
      </c>
      <c r="M17" s="22">
        <f>IFERROR(VLOOKUP($K17,'OpenLCA Factors'!$A$6:$L$200,5,FALSE),0)</f>
        <v>10</v>
      </c>
      <c r="N17" s="22">
        <f>IFERROR(VLOOKUP($K17,'OpenLCA Factors'!$A$6:$L$200,6,FALSE),0)</f>
        <v>1.7999999999999999E-2</v>
      </c>
      <c r="O17" s="22">
        <f>IFERROR(VLOOKUP($K17,'OpenLCA Factors'!$A$6:$L$200,7,FALSE),0)</f>
        <v>0.02</v>
      </c>
      <c r="P17" s="22">
        <f>IFERROR(VLOOKUP($K17,'OpenLCA Factors'!$A$6:$L$200,8,FALSE),0)</f>
        <v>6.9999999999999999E-4</v>
      </c>
      <c r="Q17" s="22">
        <f>IFERROR(VLOOKUP($K17,'OpenLCA Factors'!$A$6:$L$200,9,FALSE),0)</f>
        <v>12</v>
      </c>
      <c r="R17" s="22">
        <f>IFERROR(VLOOKUP($K17,'OpenLCA Factors'!$A$6:$L$200,10,FALSE),0)</f>
        <v>0.06</v>
      </c>
      <c r="S17" s="22">
        <f>IFERROR(VLOOKUP($K17,'OpenLCA Factors'!$A$6:$L$200,11,FALSE),0)</f>
        <v>6.2</v>
      </c>
      <c r="T17" s="25">
        <f t="shared" si="3"/>
        <v>0</v>
      </c>
      <c r="U17" s="25">
        <f t="shared" si="4"/>
        <v>0</v>
      </c>
      <c r="V17" s="25">
        <f t="shared" si="5"/>
        <v>0</v>
      </c>
      <c r="W17" s="25">
        <f t="shared" si="6"/>
        <v>0</v>
      </c>
      <c r="X17" s="25">
        <f t="shared" si="7"/>
        <v>0</v>
      </c>
      <c r="Y17" s="25">
        <f t="shared" si="8"/>
        <v>0</v>
      </c>
      <c r="Z17" s="25">
        <f t="shared" si="9"/>
        <v>0</v>
      </c>
      <c r="AA17" s="25">
        <f t="shared" si="10"/>
        <v>0</v>
      </c>
    </row>
    <row r="18" spans="1:27" x14ac:dyDescent="0.75">
      <c r="A18" s="7" t="str">
        <f>Materials!A18</f>
        <v>WNG</v>
      </c>
      <c r="B18" s="7" t="str">
        <f>Materials!B18</f>
        <v>Steel</v>
      </c>
      <c r="C18" s="7" t="str">
        <f>Materials!C18</f>
        <v>Metal</v>
      </c>
      <c r="D18" s="15">
        <f>IFERROR(VLOOKUP(A18,Assemblies!$A$6:$N$11,6,FALSE),0)</f>
        <v>3970</v>
      </c>
      <c r="E18" s="20">
        <f>Materials!E18</f>
        <v>0</v>
      </c>
      <c r="F18" s="24">
        <f t="shared" si="0"/>
        <v>0</v>
      </c>
      <c r="G18" s="7" t="str">
        <f>Materials!F18</f>
        <v>Estimated</v>
      </c>
      <c r="H18" s="19">
        <f>IFERROR(VLOOKUP(G18,'Data Quality'!$A$6:$D$9,3,FALSE),0)</f>
        <v>0.1</v>
      </c>
      <c r="I18" s="24">
        <f t="shared" si="1"/>
        <v>0</v>
      </c>
      <c r="J18" s="7" t="str">
        <f>Materials!H18</f>
        <v>N</v>
      </c>
      <c r="K18" s="7" t="str">
        <f t="shared" si="2"/>
        <v>Raw_Steel</v>
      </c>
      <c r="L18" s="22">
        <f>IFERROR(VLOOKUP($K18,'OpenLCA Factors'!$A$6:$L$200,4,FALSE),0)</f>
        <v>2.5</v>
      </c>
      <c r="M18" s="22">
        <f>IFERROR(VLOOKUP($K18,'OpenLCA Factors'!$A$6:$L$200,5,FALSE),0)</f>
        <v>2</v>
      </c>
      <c r="N18" s="22">
        <f>IFERROR(VLOOKUP($K18,'OpenLCA Factors'!$A$6:$L$200,6,FALSE),0)</f>
        <v>3.0000000000000001E-3</v>
      </c>
      <c r="O18" s="22">
        <f>IFERROR(VLOOKUP($K18,'OpenLCA Factors'!$A$6:$L$200,7,FALSE),0)</f>
        <v>4.0000000000000001E-3</v>
      </c>
      <c r="P18" s="22">
        <f>IFERROR(VLOOKUP($K18,'OpenLCA Factors'!$A$6:$L$200,8,FALSE),0)</f>
        <v>2.0000000000000001E-4</v>
      </c>
      <c r="Q18" s="22">
        <f>IFERROR(VLOOKUP($K18,'OpenLCA Factors'!$A$6:$L$200,9,FALSE),0)</f>
        <v>0.9</v>
      </c>
      <c r="R18" s="22">
        <f>IFERROR(VLOOKUP($K18,'OpenLCA Factors'!$A$6:$L$200,10,FALSE),0)</f>
        <v>0.02</v>
      </c>
      <c r="S18" s="22">
        <f>IFERROR(VLOOKUP($K18,'OpenLCA Factors'!$A$6:$L$200,11,FALSE),0)</f>
        <v>0.5</v>
      </c>
      <c r="T18" s="25">
        <f t="shared" si="3"/>
        <v>0</v>
      </c>
      <c r="U18" s="25">
        <f t="shared" si="4"/>
        <v>0</v>
      </c>
      <c r="V18" s="25">
        <f t="shared" si="5"/>
        <v>0</v>
      </c>
      <c r="W18" s="25">
        <f t="shared" si="6"/>
        <v>0</v>
      </c>
      <c r="X18" s="25">
        <f t="shared" si="7"/>
        <v>0</v>
      </c>
      <c r="Y18" s="25">
        <f t="shared" si="8"/>
        <v>0</v>
      </c>
      <c r="Z18" s="25">
        <f t="shared" si="9"/>
        <v>0</v>
      </c>
      <c r="AA18" s="25">
        <f t="shared" si="10"/>
        <v>0</v>
      </c>
    </row>
    <row r="19" spans="1:27" x14ac:dyDescent="0.75">
      <c r="A19" s="7" t="str">
        <f>Materials!A19</f>
        <v>WNG</v>
      </c>
      <c r="B19" s="7" t="str">
        <f>Materials!B19</f>
        <v>Aluminium</v>
      </c>
      <c r="C19" s="7" t="str">
        <f>Materials!C19</f>
        <v>Metal</v>
      </c>
      <c r="D19" s="15">
        <f>IFERROR(VLOOKUP(A19,Assemblies!$A$6:$N$11,6,FALSE),0)</f>
        <v>3970</v>
      </c>
      <c r="E19" s="20">
        <f>Materials!E19</f>
        <v>1.6372795969773299E-2</v>
      </c>
      <c r="F19" s="24">
        <f t="shared" si="0"/>
        <v>65</v>
      </c>
      <c r="G19" s="7" t="str">
        <f>Materials!F19</f>
        <v>Estimated</v>
      </c>
      <c r="H19" s="19">
        <f>IFERROR(VLOOKUP(G19,'Data Quality'!$A$6:$D$9,3,FALSE),0)</f>
        <v>0.1</v>
      </c>
      <c r="I19" s="24">
        <f t="shared" si="1"/>
        <v>6.5</v>
      </c>
      <c r="J19" s="7" t="str">
        <f>Materials!H19</f>
        <v>N</v>
      </c>
      <c r="K19" s="7" t="str">
        <f t="shared" si="2"/>
        <v>Raw_Aluminium</v>
      </c>
      <c r="L19" s="22">
        <f>IFERROR(VLOOKUP($K19,'OpenLCA Factors'!$A$6:$L$200,4,FALSE),0)</f>
        <v>10</v>
      </c>
      <c r="M19" s="22">
        <f>IFERROR(VLOOKUP($K19,'OpenLCA Factors'!$A$6:$L$200,5,FALSE),0)</f>
        <v>7</v>
      </c>
      <c r="N19" s="22">
        <f>IFERROR(VLOOKUP($K19,'OpenLCA Factors'!$A$6:$L$200,6,FALSE),0)</f>
        <v>0.01</v>
      </c>
      <c r="O19" s="22">
        <f>IFERROR(VLOOKUP($K19,'OpenLCA Factors'!$A$6:$L$200,7,FALSE),0)</f>
        <v>1.2E-2</v>
      </c>
      <c r="P19" s="22">
        <f>IFERROR(VLOOKUP($K19,'OpenLCA Factors'!$A$6:$L$200,8,FALSE),0)</f>
        <v>5.0000000000000001E-4</v>
      </c>
      <c r="Q19" s="22">
        <f>IFERROR(VLOOKUP($K19,'OpenLCA Factors'!$A$6:$L$200,9,FALSE),0)</f>
        <v>2.5</v>
      </c>
      <c r="R19" s="22">
        <f>IFERROR(VLOOKUP($K19,'OpenLCA Factors'!$A$6:$L$200,10,FALSE),0)</f>
        <v>0.04</v>
      </c>
      <c r="S19" s="22">
        <f>IFERROR(VLOOKUP($K19,'OpenLCA Factors'!$A$6:$L$200,11,FALSE),0)</f>
        <v>1.6</v>
      </c>
      <c r="T19" s="25">
        <f t="shared" si="3"/>
        <v>650</v>
      </c>
      <c r="U19" s="25">
        <f t="shared" si="4"/>
        <v>455</v>
      </c>
      <c r="V19" s="25">
        <f t="shared" si="5"/>
        <v>0.65</v>
      </c>
      <c r="W19" s="25">
        <f t="shared" si="6"/>
        <v>0.78</v>
      </c>
      <c r="X19" s="25">
        <f t="shared" si="7"/>
        <v>3.2500000000000001E-2</v>
      </c>
      <c r="Y19" s="25">
        <f t="shared" si="8"/>
        <v>162.5</v>
      </c>
      <c r="Z19" s="25">
        <f t="shared" si="9"/>
        <v>2.6</v>
      </c>
      <c r="AA19" s="25">
        <f t="shared" si="10"/>
        <v>104</v>
      </c>
    </row>
    <row r="20" spans="1:27" x14ac:dyDescent="0.75">
      <c r="A20" s="7" t="str">
        <f>Materials!A20</f>
        <v>WNG</v>
      </c>
      <c r="B20" s="7" t="str">
        <f>Materials!B20</f>
        <v>Electronics</v>
      </c>
      <c r="C20" s="7" t="str">
        <f>Materials!C20</f>
        <v>Electronics</v>
      </c>
      <c r="D20" s="15">
        <f>IFERROR(VLOOKUP(A20,Assemblies!$A$6:$N$11,6,FALSE),0)</f>
        <v>3970</v>
      </c>
      <c r="E20" s="20">
        <f>Materials!E20</f>
        <v>0</v>
      </c>
      <c r="F20" s="24">
        <f t="shared" si="0"/>
        <v>0</v>
      </c>
      <c r="G20" s="7" t="str">
        <f>Materials!F20</f>
        <v>Estimated</v>
      </c>
      <c r="H20" s="19">
        <f>IFERROR(VLOOKUP(G20,'Data Quality'!$A$6:$D$9,3,FALSE),0)</f>
        <v>0.1</v>
      </c>
      <c r="I20" s="24">
        <f t="shared" si="1"/>
        <v>0</v>
      </c>
      <c r="J20" s="7" t="str">
        <f>Materials!H20</f>
        <v>N</v>
      </c>
      <c r="K20" s="7" t="str">
        <f t="shared" si="2"/>
        <v>Raw_Electronics</v>
      </c>
      <c r="L20" s="22">
        <f>IFERROR(VLOOKUP($K20,'OpenLCA Factors'!$A$6:$L$200,4,FALSE),0)</f>
        <v>30</v>
      </c>
      <c r="M20" s="22">
        <f>IFERROR(VLOOKUP($K20,'OpenLCA Factors'!$A$6:$L$200,5,FALSE),0)</f>
        <v>18</v>
      </c>
      <c r="N20" s="22">
        <f>IFERROR(VLOOKUP($K20,'OpenLCA Factors'!$A$6:$L$200,6,FALSE),0)</f>
        <v>2.5000000000000001E-2</v>
      </c>
      <c r="O20" s="22">
        <f>IFERROR(VLOOKUP($K20,'OpenLCA Factors'!$A$6:$L$200,7,FALSE),0)</f>
        <v>1.7999999999999999E-2</v>
      </c>
      <c r="P20" s="22">
        <f>IFERROR(VLOOKUP($K20,'OpenLCA Factors'!$A$6:$L$200,8,FALSE),0)</f>
        <v>8.9999999999999998E-4</v>
      </c>
      <c r="Q20" s="22">
        <f>IFERROR(VLOOKUP($K20,'OpenLCA Factors'!$A$6:$L$200,9,FALSE),0)</f>
        <v>25</v>
      </c>
      <c r="R20" s="22">
        <f>IFERROR(VLOOKUP($K20,'OpenLCA Factors'!$A$6:$L$200,10,FALSE),0)</f>
        <v>0.05</v>
      </c>
      <c r="S20" s="22">
        <f>IFERROR(VLOOKUP($K20,'OpenLCA Factors'!$A$6:$L$200,11,FALSE),0)</f>
        <v>10</v>
      </c>
      <c r="T20" s="25">
        <f t="shared" si="3"/>
        <v>0</v>
      </c>
      <c r="U20" s="25">
        <f t="shared" si="4"/>
        <v>0</v>
      </c>
      <c r="V20" s="25">
        <f t="shared" si="5"/>
        <v>0</v>
      </c>
      <c r="W20" s="25">
        <f t="shared" si="6"/>
        <v>0</v>
      </c>
      <c r="X20" s="25">
        <f t="shared" si="7"/>
        <v>0</v>
      </c>
      <c r="Y20" s="25">
        <f t="shared" si="8"/>
        <v>0</v>
      </c>
      <c r="Z20" s="25">
        <f t="shared" si="9"/>
        <v>0</v>
      </c>
      <c r="AA20" s="25">
        <f t="shared" si="10"/>
        <v>0</v>
      </c>
    </row>
    <row r="21" spans="1:27" x14ac:dyDescent="0.75">
      <c r="A21" s="7" t="str">
        <f>Materials!A21</f>
        <v>WNG</v>
      </c>
      <c r="B21" s="7" t="str">
        <f>Materials!B21</f>
        <v>Other</v>
      </c>
      <c r="C21" s="7" t="str">
        <f>Materials!C21</f>
        <v>Other</v>
      </c>
      <c r="D21" s="15">
        <f>IFERROR(VLOOKUP(A21,Assemblies!$A$6:$N$11,6,FALSE),0)</f>
        <v>3970</v>
      </c>
      <c r="E21" s="20">
        <f>Materials!E21</f>
        <v>2.1410579345088158E-2</v>
      </c>
      <c r="F21" s="24">
        <f t="shared" si="0"/>
        <v>84.999999999999986</v>
      </c>
      <c r="G21" s="7" t="str">
        <f>Materials!F21</f>
        <v>Estimated</v>
      </c>
      <c r="H21" s="19">
        <f>IFERROR(VLOOKUP(G21,'Data Quality'!$A$6:$D$9,3,FALSE),0)</f>
        <v>0.1</v>
      </c>
      <c r="I21" s="24">
        <f t="shared" si="1"/>
        <v>8.4999999999999982</v>
      </c>
      <c r="J21" s="7" t="str">
        <f>Materials!H21</f>
        <v>N</v>
      </c>
      <c r="K21" s="7" t="str">
        <f t="shared" si="2"/>
        <v>Raw_Other</v>
      </c>
      <c r="L21" s="22">
        <f>IFERROR(VLOOKUP($K21,'OpenLCA Factors'!$A$6:$L$200,4,FALSE),0)</f>
        <v>4</v>
      </c>
      <c r="M21" s="22">
        <f>IFERROR(VLOOKUP($K21,'OpenLCA Factors'!$A$6:$L$200,5,FALSE),0)</f>
        <v>3</v>
      </c>
      <c r="N21" s="22">
        <f>IFERROR(VLOOKUP($K21,'OpenLCA Factors'!$A$6:$L$200,6,FALSE),0)</f>
        <v>4.0000000000000001E-3</v>
      </c>
      <c r="O21" s="22">
        <f>IFERROR(VLOOKUP($K21,'OpenLCA Factors'!$A$6:$L$200,7,FALSE),0)</f>
        <v>5.0000000000000001E-3</v>
      </c>
      <c r="P21" s="22">
        <f>IFERROR(VLOOKUP($K21,'OpenLCA Factors'!$A$6:$L$200,8,FALSE),0)</f>
        <v>2.0000000000000001E-4</v>
      </c>
      <c r="Q21" s="22">
        <f>IFERROR(VLOOKUP($K21,'OpenLCA Factors'!$A$6:$L$200,9,FALSE),0)</f>
        <v>1</v>
      </c>
      <c r="R21" s="22">
        <f>IFERROR(VLOOKUP($K21,'OpenLCA Factors'!$A$6:$L$200,10,FALSE),0)</f>
        <v>0.02</v>
      </c>
      <c r="S21" s="22">
        <f>IFERROR(VLOOKUP($K21,'OpenLCA Factors'!$A$6:$L$200,11,FALSE),0)</f>
        <v>0.7</v>
      </c>
      <c r="T21" s="25">
        <f t="shared" si="3"/>
        <v>339.99999999999994</v>
      </c>
      <c r="U21" s="25">
        <f t="shared" si="4"/>
        <v>254.99999999999994</v>
      </c>
      <c r="V21" s="25">
        <f t="shared" si="5"/>
        <v>0.33999999999999997</v>
      </c>
      <c r="W21" s="25">
        <f t="shared" si="6"/>
        <v>0.42499999999999993</v>
      </c>
      <c r="X21" s="25">
        <f t="shared" si="7"/>
        <v>1.6999999999999998E-2</v>
      </c>
      <c r="Y21" s="25">
        <f t="shared" si="8"/>
        <v>84.999999999999986</v>
      </c>
      <c r="Z21" s="25">
        <f t="shared" si="9"/>
        <v>1.6999999999999997</v>
      </c>
      <c r="AA21" s="25">
        <f t="shared" si="10"/>
        <v>59.499999999999986</v>
      </c>
    </row>
    <row r="22" spans="1:27" x14ac:dyDescent="0.75">
      <c r="A22" s="7" t="str">
        <f>Materials!A22</f>
        <v>EMP</v>
      </c>
      <c r="B22" s="7" t="str">
        <f>Materials!B22</f>
        <v>CFRP</v>
      </c>
      <c r="C22" s="7" t="str">
        <f>Materials!C22</f>
        <v>Composite</v>
      </c>
      <c r="D22" s="15">
        <f>IFERROR(VLOOKUP(A22,Assemblies!$A$6:$N$11,6,FALSE),0)</f>
        <v>660</v>
      </c>
      <c r="E22" s="20">
        <f>Materials!E22</f>
        <v>0.88787878787878793</v>
      </c>
      <c r="F22" s="24">
        <f t="shared" si="0"/>
        <v>586</v>
      </c>
      <c r="G22" s="7" t="str">
        <f>Materials!F22</f>
        <v>Proxy</v>
      </c>
      <c r="H22" s="19">
        <f>IFERROR(VLOOKUP(G22,'Data Quality'!$A$6:$D$9,3,FALSE),0)</f>
        <v>0.2</v>
      </c>
      <c r="I22" s="24">
        <f t="shared" si="1"/>
        <v>117.2</v>
      </c>
      <c r="J22" s="7" t="str">
        <f>Materials!H22</f>
        <v>N</v>
      </c>
      <c r="K22" s="7" t="str">
        <f t="shared" si="2"/>
        <v>Raw_CFRP</v>
      </c>
      <c r="L22" s="22">
        <f>IFERROR(VLOOKUP($K22,'OpenLCA Factors'!$A$6:$L$200,4,FALSE),0)</f>
        <v>20</v>
      </c>
      <c r="M22" s="22">
        <f>IFERROR(VLOOKUP($K22,'OpenLCA Factors'!$A$6:$L$200,5,FALSE),0)</f>
        <v>15</v>
      </c>
      <c r="N22" s="22">
        <f>IFERROR(VLOOKUP($K22,'OpenLCA Factors'!$A$6:$L$200,6,FALSE),0)</f>
        <v>0.02</v>
      </c>
      <c r="O22" s="22">
        <f>IFERROR(VLOOKUP($K22,'OpenLCA Factors'!$A$6:$L$200,7,FALSE),0)</f>
        <v>0.03</v>
      </c>
      <c r="P22" s="22">
        <f>IFERROR(VLOOKUP($K22,'OpenLCA Factors'!$A$6:$L$200,8,FALSE),0)</f>
        <v>1.1999999999999999E-3</v>
      </c>
      <c r="Q22" s="22">
        <f>IFERROR(VLOOKUP($K22,'OpenLCA Factors'!$A$6:$L$200,9,FALSE),0)</f>
        <v>6</v>
      </c>
      <c r="R22" s="22">
        <f>IFERROR(VLOOKUP($K22,'OpenLCA Factors'!$A$6:$L$200,10,FALSE),0)</f>
        <v>0.1</v>
      </c>
      <c r="S22" s="22">
        <f>IFERROR(VLOOKUP($K22,'OpenLCA Factors'!$A$6:$L$200,11,FALSE),0)</f>
        <v>4</v>
      </c>
      <c r="T22" s="25">
        <f t="shared" si="3"/>
        <v>11720</v>
      </c>
      <c r="U22" s="25">
        <f t="shared" si="4"/>
        <v>8790</v>
      </c>
      <c r="V22" s="25">
        <f t="shared" si="5"/>
        <v>11.72</v>
      </c>
      <c r="W22" s="25">
        <f t="shared" si="6"/>
        <v>17.579999999999998</v>
      </c>
      <c r="X22" s="25">
        <f t="shared" si="7"/>
        <v>0.70319999999999994</v>
      </c>
      <c r="Y22" s="25">
        <f t="shared" si="8"/>
        <v>3516</v>
      </c>
      <c r="Z22" s="25">
        <f t="shared" si="9"/>
        <v>58.6</v>
      </c>
      <c r="AA22" s="25">
        <f t="shared" si="10"/>
        <v>2344</v>
      </c>
    </row>
    <row r="23" spans="1:27" x14ac:dyDescent="0.75">
      <c r="A23" s="7" t="str">
        <f>Materials!A23</f>
        <v>EMP</v>
      </c>
      <c r="B23" s="7" t="str">
        <f>Materials!B23</f>
        <v>GFRP</v>
      </c>
      <c r="C23" s="7" t="str">
        <f>Materials!C23</f>
        <v>Composite</v>
      </c>
      <c r="D23" s="15">
        <f>IFERROR(VLOOKUP(A23,Assemblies!$A$6:$N$11,6,FALSE),0)</f>
        <v>660</v>
      </c>
      <c r="E23" s="20">
        <f>Materials!E23</f>
        <v>0.1015151515151515</v>
      </c>
      <c r="F23" s="24">
        <f t="shared" si="0"/>
        <v>66.999999999999986</v>
      </c>
      <c r="G23" s="7" t="str">
        <f>Materials!F23</f>
        <v>Proxy</v>
      </c>
      <c r="H23" s="19">
        <f>IFERROR(VLOOKUP(G23,'Data Quality'!$A$6:$D$9,3,FALSE),0)</f>
        <v>0.2</v>
      </c>
      <c r="I23" s="24">
        <f t="shared" si="1"/>
        <v>13.399999999999999</v>
      </c>
      <c r="J23" s="7" t="str">
        <f>Materials!H23</f>
        <v>N</v>
      </c>
      <c r="K23" s="7" t="str">
        <f t="shared" si="2"/>
        <v>Raw_GFRP</v>
      </c>
      <c r="L23" s="22">
        <f>IFERROR(VLOOKUP($K23,'OpenLCA Factors'!$A$6:$L$200,4,FALSE),0)</f>
        <v>5</v>
      </c>
      <c r="M23" s="22">
        <f>IFERROR(VLOOKUP($K23,'OpenLCA Factors'!$A$6:$L$200,5,FALSE),0)</f>
        <v>4</v>
      </c>
      <c r="N23" s="22">
        <f>IFERROR(VLOOKUP($K23,'OpenLCA Factors'!$A$6:$L$200,6,FALSE),0)</f>
        <v>6.0000000000000001E-3</v>
      </c>
      <c r="O23" s="22">
        <f>IFERROR(VLOOKUP($K23,'OpenLCA Factors'!$A$6:$L$200,7,FALSE),0)</f>
        <v>8.0000000000000002E-3</v>
      </c>
      <c r="P23" s="22">
        <f>IFERROR(VLOOKUP($K23,'OpenLCA Factors'!$A$6:$L$200,8,FALSE),0)</f>
        <v>4.0000000000000002E-4</v>
      </c>
      <c r="Q23" s="22">
        <f>IFERROR(VLOOKUP($K23,'OpenLCA Factors'!$A$6:$L$200,9,FALSE),0)</f>
        <v>1.2</v>
      </c>
      <c r="R23" s="22">
        <f>IFERROR(VLOOKUP($K23,'OpenLCA Factors'!$A$6:$L$200,10,FALSE),0)</f>
        <v>0.03</v>
      </c>
      <c r="S23" s="22">
        <f>IFERROR(VLOOKUP($K23,'OpenLCA Factors'!$A$6:$L$200,11,FALSE),0)</f>
        <v>0.8</v>
      </c>
      <c r="T23" s="25">
        <f t="shared" si="3"/>
        <v>334.99999999999994</v>
      </c>
      <c r="U23" s="25">
        <f t="shared" si="4"/>
        <v>267.99999999999994</v>
      </c>
      <c r="V23" s="25">
        <f t="shared" si="5"/>
        <v>0.40199999999999991</v>
      </c>
      <c r="W23" s="25">
        <f t="shared" si="6"/>
        <v>0.53599999999999992</v>
      </c>
      <c r="X23" s="25">
        <f t="shared" si="7"/>
        <v>2.6799999999999994E-2</v>
      </c>
      <c r="Y23" s="25">
        <f t="shared" si="8"/>
        <v>80.399999999999977</v>
      </c>
      <c r="Z23" s="25">
        <f t="shared" si="9"/>
        <v>2.0099999999999993</v>
      </c>
      <c r="AA23" s="25">
        <f t="shared" si="10"/>
        <v>53.599999999999994</v>
      </c>
    </row>
    <row r="24" spans="1:27" x14ac:dyDescent="0.75">
      <c r="A24" s="7" t="str">
        <f>Materials!A24</f>
        <v>EMP</v>
      </c>
      <c r="B24" s="7" t="str">
        <f>Materials!B24</f>
        <v>Titanium</v>
      </c>
      <c r="C24" s="7" t="str">
        <f>Materials!C24</f>
        <v>Metal</v>
      </c>
      <c r="D24" s="15">
        <f>IFERROR(VLOOKUP(A24,Assemblies!$A$6:$N$11,6,FALSE),0)</f>
        <v>660</v>
      </c>
      <c r="E24" s="20">
        <f>Materials!E24</f>
        <v>0</v>
      </c>
      <c r="F24" s="24">
        <f t="shared" si="0"/>
        <v>0</v>
      </c>
      <c r="G24" s="7" t="str">
        <f>Materials!F24</f>
        <v>Proxy</v>
      </c>
      <c r="H24" s="19">
        <f>IFERROR(VLOOKUP(G24,'Data Quality'!$A$6:$D$9,3,FALSE),0)</f>
        <v>0.2</v>
      </c>
      <c r="I24" s="24">
        <f t="shared" si="1"/>
        <v>0</v>
      </c>
      <c r="J24" s="7" t="str">
        <f>Materials!H24</f>
        <v>N</v>
      </c>
      <c r="K24" s="7" t="str">
        <f t="shared" si="2"/>
        <v>Raw_Titanium</v>
      </c>
      <c r="L24" s="22">
        <f>IFERROR(VLOOKUP($K24,'OpenLCA Factors'!$A$6:$L$200,4,FALSE),0)</f>
        <v>35</v>
      </c>
      <c r="M24" s="22">
        <f>IFERROR(VLOOKUP($K24,'OpenLCA Factors'!$A$6:$L$200,5,FALSE),0)</f>
        <v>12</v>
      </c>
      <c r="N24" s="22">
        <f>IFERROR(VLOOKUP($K24,'OpenLCA Factors'!$A$6:$L$200,6,FALSE),0)</f>
        <v>0.02</v>
      </c>
      <c r="O24" s="22">
        <f>IFERROR(VLOOKUP($K24,'OpenLCA Factors'!$A$6:$L$200,7,FALSE),0)</f>
        <v>2.5000000000000001E-2</v>
      </c>
      <c r="P24" s="22">
        <f>IFERROR(VLOOKUP($K24,'OpenLCA Factors'!$A$6:$L$200,8,FALSE),0)</f>
        <v>8.0000000000000004E-4</v>
      </c>
      <c r="Q24" s="22">
        <f>IFERROR(VLOOKUP($K24,'OpenLCA Factors'!$A$6:$L$200,9,FALSE),0)</f>
        <v>8.5</v>
      </c>
      <c r="R24" s="22">
        <f>IFERROR(VLOOKUP($K24,'OpenLCA Factors'!$A$6:$L$200,10,FALSE),0)</f>
        <v>0.08</v>
      </c>
      <c r="S24" s="22">
        <f>IFERROR(VLOOKUP($K24,'OpenLCA Factors'!$A$6:$L$200,11,FALSE),0)</f>
        <v>5.5</v>
      </c>
      <c r="T24" s="25">
        <f t="shared" si="3"/>
        <v>0</v>
      </c>
      <c r="U24" s="25">
        <f t="shared" si="4"/>
        <v>0</v>
      </c>
      <c r="V24" s="25">
        <f t="shared" si="5"/>
        <v>0</v>
      </c>
      <c r="W24" s="25">
        <f t="shared" si="6"/>
        <v>0</v>
      </c>
      <c r="X24" s="25">
        <f t="shared" si="7"/>
        <v>0</v>
      </c>
      <c r="Y24" s="25">
        <f t="shared" si="8"/>
        <v>0</v>
      </c>
      <c r="Z24" s="25">
        <f t="shared" si="9"/>
        <v>0</v>
      </c>
      <c r="AA24" s="25">
        <f t="shared" si="10"/>
        <v>0</v>
      </c>
    </row>
    <row r="25" spans="1:27" x14ac:dyDescent="0.75">
      <c r="A25" s="7" t="str">
        <f>Materials!A25</f>
        <v>EMP</v>
      </c>
      <c r="B25" s="7" t="str">
        <f>Materials!B25</f>
        <v>NickelSuperalloy</v>
      </c>
      <c r="C25" s="7" t="str">
        <f>Materials!C25</f>
        <v>Metal</v>
      </c>
      <c r="D25" s="15">
        <f>IFERROR(VLOOKUP(A25,Assemblies!$A$6:$N$11,6,FALSE),0)</f>
        <v>660</v>
      </c>
      <c r="E25" s="20">
        <f>Materials!E25</f>
        <v>0</v>
      </c>
      <c r="F25" s="24">
        <f t="shared" si="0"/>
        <v>0</v>
      </c>
      <c r="G25" s="7" t="str">
        <f>Materials!F25</f>
        <v>Proxy</v>
      </c>
      <c r="H25" s="19">
        <f>IFERROR(VLOOKUP(G25,'Data Quality'!$A$6:$D$9,3,FALSE),0)</f>
        <v>0.2</v>
      </c>
      <c r="I25" s="24">
        <f t="shared" si="1"/>
        <v>0</v>
      </c>
      <c r="J25" s="7" t="str">
        <f>Materials!H25</f>
        <v>N</v>
      </c>
      <c r="K25" s="7" t="str">
        <f t="shared" si="2"/>
        <v>Raw_NickelSuperalloy</v>
      </c>
      <c r="L25" s="22">
        <f>IFERROR(VLOOKUP($K25,'OpenLCA Factors'!$A$6:$L$200,4,FALSE),0)</f>
        <v>28</v>
      </c>
      <c r="M25" s="22">
        <f>IFERROR(VLOOKUP($K25,'OpenLCA Factors'!$A$6:$L$200,5,FALSE),0)</f>
        <v>10</v>
      </c>
      <c r="N25" s="22">
        <f>IFERROR(VLOOKUP($K25,'OpenLCA Factors'!$A$6:$L$200,6,FALSE),0)</f>
        <v>1.7999999999999999E-2</v>
      </c>
      <c r="O25" s="22">
        <f>IFERROR(VLOOKUP($K25,'OpenLCA Factors'!$A$6:$L$200,7,FALSE),0)</f>
        <v>0.02</v>
      </c>
      <c r="P25" s="22">
        <f>IFERROR(VLOOKUP($K25,'OpenLCA Factors'!$A$6:$L$200,8,FALSE),0)</f>
        <v>6.9999999999999999E-4</v>
      </c>
      <c r="Q25" s="22">
        <f>IFERROR(VLOOKUP($K25,'OpenLCA Factors'!$A$6:$L$200,9,FALSE),0)</f>
        <v>12</v>
      </c>
      <c r="R25" s="22">
        <f>IFERROR(VLOOKUP($K25,'OpenLCA Factors'!$A$6:$L$200,10,FALSE),0)</f>
        <v>0.06</v>
      </c>
      <c r="S25" s="22">
        <f>IFERROR(VLOOKUP($K25,'OpenLCA Factors'!$A$6:$L$200,11,FALSE),0)</f>
        <v>6.2</v>
      </c>
      <c r="T25" s="25">
        <f t="shared" si="3"/>
        <v>0</v>
      </c>
      <c r="U25" s="25">
        <f t="shared" si="4"/>
        <v>0</v>
      </c>
      <c r="V25" s="25">
        <f t="shared" si="5"/>
        <v>0</v>
      </c>
      <c r="W25" s="25">
        <f t="shared" si="6"/>
        <v>0</v>
      </c>
      <c r="X25" s="25">
        <f t="shared" si="7"/>
        <v>0</v>
      </c>
      <c r="Y25" s="25">
        <f t="shared" si="8"/>
        <v>0</v>
      </c>
      <c r="Z25" s="25">
        <f t="shared" si="9"/>
        <v>0</v>
      </c>
      <c r="AA25" s="25">
        <f t="shared" si="10"/>
        <v>0</v>
      </c>
    </row>
    <row r="26" spans="1:27" x14ac:dyDescent="0.75">
      <c r="A26" s="7" t="str">
        <f>Materials!A26</f>
        <v>EMP</v>
      </c>
      <c r="B26" s="7" t="str">
        <f>Materials!B26</f>
        <v>Steel</v>
      </c>
      <c r="C26" s="7" t="str">
        <f>Materials!C26</f>
        <v>Metal</v>
      </c>
      <c r="D26" s="15">
        <f>IFERROR(VLOOKUP(A26,Assemblies!$A$6:$N$11,6,FALSE),0)</f>
        <v>660</v>
      </c>
      <c r="E26" s="20">
        <f>Materials!E26</f>
        <v>0</v>
      </c>
      <c r="F26" s="24">
        <f t="shared" si="0"/>
        <v>0</v>
      </c>
      <c r="G26" s="7" t="str">
        <f>Materials!F26</f>
        <v>Proxy</v>
      </c>
      <c r="H26" s="19">
        <f>IFERROR(VLOOKUP(G26,'Data Quality'!$A$6:$D$9,3,FALSE),0)</f>
        <v>0.2</v>
      </c>
      <c r="I26" s="24">
        <f t="shared" si="1"/>
        <v>0</v>
      </c>
      <c r="J26" s="7" t="str">
        <f>Materials!H26</f>
        <v>N</v>
      </c>
      <c r="K26" s="7" t="str">
        <f t="shared" si="2"/>
        <v>Raw_Steel</v>
      </c>
      <c r="L26" s="22">
        <f>IFERROR(VLOOKUP($K26,'OpenLCA Factors'!$A$6:$L$200,4,FALSE),0)</f>
        <v>2.5</v>
      </c>
      <c r="M26" s="22">
        <f>IFERROR(VLOOKUP($K26,'OpenLCA Factors'!$A$6:$L$200,5,FALSE),0)</f>
        <v>2</v>
      </c>
      <c r="N26" s="22">
        <f>IFERROR(VLOOKUP($K26,'OpenLCA Factors'!$A$6:$L$200,6,FALSE),0)</f>
        <v>3.0000000000000001E-3</v>
      </c>
      <c r="O26" s="22">
        <f>IFERROR(VLOOKUP($K26,'OpenLCA Factors'!$A$6:$L$200,7,FALSE),0)</f>
        <v>4.0000000000000001E-3</v>
      </c>
      <c r="P26" s="22">
        <f>IFERROR(VLOOKUP($K26,'OpenLCA Factors'!$A$6:$L$200,8,FALSE),0)</f>
        <v>2.0000000000000001E-4</v>
      </c>
      <c r="Q26" s="22">
        <f>IFERROR(VLOOKUP($K26,'OpenLCA Factors'!$A$6:$L$200,9,FALSE),0)</f>
        <v>0.9</v>
      </c>
      <c r="R26" s="22">
        <f>IFERROR(VLOOKUP($K26,'OpenLCA Factors'!$A$6:$L$200,10,FALSE),0)</f>
        <v>0.02</v>
      </c>
      <c r="S26" s="22">
        <f>IFERROR(VLOOKUP($K26,'OpenLCA Factors'!$A$6:$L$200,11,FALSE),0)</f>
        <v>0.5</v>
      </c>
      <c r="T26" s="25">
        <f t="shared" si="3"/>
        <v>0</v>
      </c>
      <c r="U26" s="25">
        <f t="shared" si="4"/>
        <v>0</v>
      </c>
      <c r="V26" s="25">
        <f t="shared" si="5"/>
        <v>0</v>
      </c>
      <c r="W26" s="25">
        <f t="shared" si="6"/>
        <v>0</v>
      </c>
      <c r="X26" s="25">
        <f t="shared" si="7"/>
        <v>0</v>
      </c>
      <c r="Y26" s="25">
        <f t="shared" si="8"/>
        <v>0</v>
      </c>
      <c r="Z26" s="25">
        <f t="shared" si="9"/>
        <v>0</v>
      </c>
      <c r="AA26" s="25">
        <f t="shared" si="10"/>
        <v>0</v>
      </c>
    </row>
    <row r="27" spans="1:27" x14ac:dyDescent="0.75">
      <c r="A27" s="7" t="str">
        <f>Materials!A27</f>
        <v>EMP</v>
      </c>
      <c r="B27" s="7" t="str">
        <f>Materials!B27</f>
        <v>Aluminium</v>
      </c>
      <c r="C27" s="7" t="str">
        <f>Materials!C27</f>
        <v>Metal</v>
      </c>
      <c r="D27" s="15">
        <f>IFERROR(VLOOKUP(A27,Assemblies!$A$6:$N$11,6,FALSE),0)</f>
        <v>660</v>
      </c>
      <c r="E27" s="20">
        <f>Materials!E27</f>
        <v>1.060606060606061E-2</v>
      </c>
      <c r="F27" s="24">
        <f t="shared" si="0"/>
        <v>7.0000000000000027</v>
      </c>
      <c r="G27" s="7" t="str">
        <f>Materials!F27</f>
        <v>Proxy</v>
      </c>
      <c r="H27" s="19">
        <f>IFERROR(VLOOKUP(G27,'Data Quality'!$A$6:$D$9,3,FALSE),0)</f>
        <v>0.2</v>
      </c>
      <c r="I27" s="24">
        <f t="shared" si="1"/>
        <v>1.4000000000000006</v>
      </c>
      <c r="J27" s="7" t="str">
        <f>Materials!H27</f>
        <v>N</v>
      </c>
      <c r="K27" s="7" t="str">
        <f t="shared" si="2"/>
        <v>Raw_Aluminium</v>
      </c>
      <c r="L27" s="22">
        <f>IFERROR(VLOOKUP($K27,'OpenLCA Factors'!$A$6:$L$200,4,FALSE),0)</f>
        <v>10</v>
      </c>
      <c r="M27" s="22">
        <f>IFERROR(VLOOKUP($K27,'OpenLCA Factors'!$A$6:$L$200,5,FALSE),0)</f>
        <v>7</v>
      </c>
      <c r="N27" s="22">
        <f>IFERROR(VLOOKUP($K27,'OpenLCA Factors'!$A$6:$L$200,6,FALSE),0)</f>
        <v>0.01</v>
      </c>
      <c r="O27" s="22">
        <f>IFERROR(VLOOKUP($K27,'OpenLCA Factors'!$A$6:$L$200,7,FALSE),0)</f>
        <v>1.2E-2</v>
      </c>
      <c r="P27" s="22">
        <f>IFERROR(VLOOKUP($K27,'OpenLCA Factors'!$A$6:$L$200,8,FALSE),0)</f>
        <v>5.0000000000000001E-4</v>
      </c>
      <c r="Q27" s="22">
        <f>IFERROR(VLOOKUP($K27,'OpenLCA Factors'!$A$6:$L$200,9,FALSE),0)</f>
        <v>2.5</v>
      </c>
      <c r="R27" s="22">
        <f>IFERROR(VLOOKUP($K27,'OpenLCA Factors'!$A$6:$L$200,10,FALSE),0)</f>
        <v>0.04</v>
      </c>
      <c r="S27" s="22">
        <f>IFERROR(VLOOKUP($K27,'OpenLCA Factors'!$A$6:$L$200,11,FALSE),0)</f>
        <v>1.6</v>
      </c>
      <c r="T27" s="25">
        <f t="shared" si="3"/>
        <v>70.000000000000028</v>
      </c>
      <c r="U27" s="25">
        <f t="shared" si="4"/>
        <v>49.000000000000021</v>
      </c>
      <c r="V27" s="25">
        <f t="shared" si="5"/>
        <v>7.0000000000000034E-2</v>
      </c>
      <c r="W27" s="25">
        <f t="shared" si="6"/>
        <v>8.4000000000000033E-2</v>
      </c>
      <c r="X27" s="25">
        <f t="shared" si="7"/>
        <v>3.5000000000000014E-3</v>
      </c>
      <c r="Y27" s="25">
        <f t="shared" si="8"/>
        <v>17.500000000000007</v>
      </c>
      <c r="Z27" s="25">
        <f t="shared" si="9"/>
        <v>0.28000000000000014</v>
      </c>
      <c r="AA27" s="25">
        <f t="shared" si="10"/>
        <v>11.200000000000005</v>
      </c>
    </row>
    <row r="28" spans="1:27" x14ac:dyDescent="0.75">
      <c r="A28" s="7" t="str">
        <f>Materials!A28</f>
        <v>EMP</v>
      </c>
      <c r="B28" s="7" t="str">
        <f>Materials!B28</f>
        <v>Electronics</v>
      </c>
      <c r="C28" s="7" t="str">
        <f>Materials!C28</f>
        <v>Electronics</v>
      </c>
      <c r="D28" s="15">
        <f>IFERROR(VLOOKUP(A28,Assemblies!$A$6:$N$11,6,FALSE),0)</f>
        <v>660</v>
      </c>
      <c r="E28" s="20">
        <f>Materials!E28</f>
        <v>0</v>
      </c>
      <c r="F28" s="24">
        <f t="shared" si="0"/>
        <v>0</v>
      </c>
      <c r="G28" s="7" t="str">
        <f>Materials!F28</f>
        <v>Proxy</v>
      </c>
      <c r="H28" s="19">
        <f>IFERROR(VLOOKUP(G28,'Data Quality'!$A$6:$D$9,3,FALSE),0)</f>
        <v>0.2</v>
      </c>
      <c r="I28" s="24">
        <f t="shared" si="1"/>
        <v>0</v>
      </c>
      <c r="J28" s="7" t="str">
        <f>Materials!H28</f>
        <v>N</v>
      </c>
      <c r="K28" s="7" t="str">
        <f t="shared" si="2"/>
        <v>Raw_Electronics</v>
      </c>
      <c r="L28" s="22">
        <f>IFERROR(VLOOKUP($K28,'OpenLCA Factors'!$A$6:$L$200,4,FALSE),0)</f>
        <v>30</v>
      </c>
      <c r="M28" s="22">
        <f>IFERROR(VLOOKUP($K28,'OpenLCA Factors'!$A$6:$L$200,5,FALSE),0)</f>
        <v>18</v>
      </c>
      <c r="N28" s="22">
        <f>IFERROR(VLOOKUP($K28,'OpenLCA Factors'!$A$6:$L$200,6,FALSE),0)</f>
        <v>2.5000000000000001E-2</v>
      </c>
      <c r="O28" s="22">
        <f>IFERROR(VLOOKUP($K28,'OpenLCA Factors'!$A$6:$L$200,7,FALSE),0)</f>
        <v>1.7999999999999999E-2</v>
      </c>
      <c r="P28" s="22">
        <f>IFERROR(VLOOKUP($K28,'OpenLCA Factors'!$A$6:$L$200,8,FALSE),0)</f>
        <v>8.9999999999999998E-4</v>
      </c>
      <c r="Q28" s="22">
        <f>IFERROR(VLOOKUP($K28,'OpenLCA Factors'!$A$6:$L$200,9,FALSE),0)</f>
        <v>25</v>
      </c>
      <c r="R28" s="22">
        <f>IFERROR(VLOOKUP($K28,'OpenLCA Factors'!$A$6:$L$200,10,FALSE),0)</f>
        <v>0.05</v>
      </c>
      <c r="S28" s="22">
        <f>IFERROR(VLOOKUP($K28,'OpenLCA Factors'!$A$6:$L$200,11,FALSE),0)</f>
        <v>10</v>
      </c>
      <c r="T28" s="25">
        <f t="shared" si="3"/>
        <v>0</v>
      </c>
      <c r="U28" s="25">
        <f t="shared" si="4"/>
        <v>0</v>
      </c>
      <c r="V28" s="25">
        <f t="shared" si="5"/>
        <v>0</v>
      </c>
      <c r="W28" s="25">
        <f t="shared" si="6"/>
        <v>0</v>
      </c>
      <c r="X28" s="25">
        <f t="shared" si="7"/>
        <v>0</v>
      </c>
      <c r="Y28" s="25">
        <f t="shared" si="8"/>
        <v>0</v>
      </c>
      <c r="Z28" s="25">
        <f t="shared" si="9"/>
        <v>0</v>
      </c>
      <c r="AA28" s="25">
        <f t="shared" si="10"/>
        <v>0</v>
      </c>
    </row>
    <row r="29" spans="1:27" x14ac:dyDescent="0.75">
      <c r="A29" s="7" t="str">
        <f>Materials!A29</f>
        <v>EMP</v>
      </c>
      <c r="B29" s="7" t="str">
        <f>Materials!B29</f>
        <v>Other</v>
      </c>
      <c r="C29" s="7" t="str">
        <f>Materials!C29</f>
        <v>Other</v>
      </c>
      <c r="D29" s="15">
        <f>IFERROR(VLOOKUP(A29,Assemblies!$A$6:$N$11,6,FALSE),0)</f>
        <v>660</v>
      </c>
      <c r="E29" s="20">
        <f>Materials!E29</f>
        <v>0</v>
      </c>
      <c r="F29" s="24">
        <f t="shared" si="0"/>
        <v>0</v>
      </c>
      <c r="G29" s="7" t="str">
        <f>Materials!F29</f>
        <v>Proxy</v>
      </c>
      <c r="H29" s="19">
        <f>IFERROR(VLOOKUP(G29,'Data Quality'!$A$6:$D$9,3,FALSE),0)</f>
        <v>0.2</v>
      </c>
      <c r="I29" s="24">
        <f t="shared" si="1"/>
        <v>0</v>
      </c>
      <c r="J29" s="7" t="str">
        <f>Materials!H29</f>
        <v>N</v>
      </c>
      <c r="K29" s="7" t="str">
        <f t="shared" si="2"/>
        <v>Raw_Other</v>
      </c>
      <c r="L29" s="22">
        <f>IFERROR(VLOOKUP($K29,'OpenLCA Factors'!$A$6:$L$200,4,FALSE),0)</f>
        <v>4</v>
      </c>
      <c r="M29" s="22">
        <f>IFERROR(VLOOKUP($K29,'OpenLCA Factors'!$A$6:$L$200,5,FALSE),0)</f>
        <v>3</v>
      </c>
      <c r="N29" s="22">
        <f>IFERROR(VLOOKUP($K29,'OpenLCA Factors'!$A$6:$L$200,6,FALSE),0)</f>
        <v>4.0000000000000001E-3</v>
      </c>
      <c r="O29" s="22">
        <f>IFERROR(VLOOKUP($K29,'OpenLCA Factors'!$A$6:$L$200,7,FALSE),0)</f>
        <v>5.0000000000000001E-3</v>
      </c>
      <c r="P29" s="22">
        <f>IFERROR(VLOOKUP($K29,'OpenLCA Factors'!$A$6:$L$200,8,FALSE),0)</f>
        <v>2.0000000000000001E-4</v>
      </c>
      <c r="Q29" s="22">
        <f>IFERROR(VLOOKUP($K29,'OpenLCA Factors'!$A$6:$L$200,9,FALSE),0)</f>
        <v>1</v>
      </c>
      <c r="R29" s="22">
        <f>IFERROR(VLOOKUP($K29,'OpenLCA Factors'!$A$6:$L$200,10,FALSE),0)</f>
        <v>0.02</v>
      </c>
      <c r="S29" s="22">
        <f>IFERROR(VLOOKUP($K29,'OpenLCA Factors'!$A$6:$L$200,11,FALSE),0)</f>
        <v>0.7</v>
      </c>
      <c r="T29" s="25">
        <f t="shared" si="3"/>
        <v>0</v>
      </c>
      <c r="U29" s="25">
        <f t="shared" si="4"/>
        <v>0</v>
      </c>
      <c r="V29" s="25">
        <f t="shared" si="5"/>
        <v>0</v>
      </c>
      <c r="W29" s="25">
        <f t="shared" si="6"/>
        <v>0</v>
      </c>
      <c r="X29" s="25">
        <f t="shared" si="7"/>
        <v>0</v>
      </c>
      <c r="Y29" s="25">
        <f t="shared" si="8"/>
        <v>0</v>
      </c>
      <c r="Z29" s="25">
        <f t="shared" si="9"/>
        <v>0</v>
      </c>
      <c r="AA29" s="25">
        <f t="shared" si="10"/>
        <v>0</v>
      </c>
    </row>
    <row r="30" spans="1:27" x14ac:dyDescent="0.75">
      <c r="A30" s="7" t="str">
        <f>Materials!A30</f>
        <v>PRO</v>
      </c>
      <c r="B30" s="7" t="str">
        <f>Materials!B30</f>
        <v>CFRP</v>
      </c>
      <c r="C30" s="7" t="str">
        <f>Materials!C30</f>
        <v>Composite</v>
      </c>
      <c r="D30" s="15">
        <f>IFERROR(VLOOKUP(A30,Assemblies!$A$6:$N$11,6,FALSE),0)</f>
        <v>2000</v>
      </c>
      <c r="E30" s="20">
        <f>Materials!E30</f>
        <v>8.6999999999999977E-3</v>
      </c>
      <c r="F30" s="24">
        <f t="shared" si="0"/>
        <v>17.399999999999995</v>
      </c>
      <c r="G30" s="7" t="str">
        <f>Materials!F30</f>
        <v>Estimated</v>
      </c>
      <c r="H30" s="19">
        <f>IFERROR(VLOOKUP(G30,'Data Quality'!$A$6:$D$9,3,FALSE),0)</f>
        <v>0.1</v>
      </c>
      <c r="I30" s="24">
        <f t="shared" si="1"/>
        <v>1.7399999999999995</v>
      </c>
      <c r="J30" s="7" t="str">
        <f>Materials!H30</f>
        <v>N</v>
      </c>
      <c r="K30" s="7" t="str">
        <f t="shared" si="2"/>
        <v>Raw_CFRP</v>
      </c>
      <c r="L30" s="22">
        <f>IFERROR(VLOOKUP($K30,'OpenLCA Factors'!$A$6:$L$200,4,FALSE),0)</f>
        <v>20</v>
      </c>
      <c r="M30" s="22">
        <f>IFERROR(VLOOKUP($K30,'OpenLCA Factors'!$A$6:$L$200,5,FALSE),0)</f>
        <v>15</v>
      </c>
      <c r="N30" s="22">
        <f>IFERROR(VLOOKUP($K30,'OpenLCA Factors'!$A$6:$L$200,6,FALSE),0)</f>
        <v>0.02</v>
      </c>
      <c r="O30" s="22">
        <f>IFERROR(VLOOKUP($K30,'OpenLCA Factors'!$A$6:$L$200,7,FALSE),0)</f>
        <v>0.03</v>
      </c>
      <c r="P30" s="22">
        <f>IFERROR(VLOOKUP($K30,'OpenLCA Factors'!$A$6:$L$200,8,FALSE),0)</f>
        <v>1.1999999999999999E-3</v>
      </c>
      <c r="Q30" s="22">
        <f>IFERROR(VLOOKUP($K30,'OpenLCA Factors'!$A$6:$L$200,9,FALSE),0)</f>
        <v>6</v>
      </c>
      <c r="R30" s="22">
        <f>IFERROR(VLOOKUP($K30,'OpenLCA Factors'!$A$6:$L$200,10,FALSE),0)</f>
        <v>0.1</v>
      </c>
      <c r="S30" s="22">
        <f>IFERROR(VLOOKUP($K30,'OpenLCA Factors'!$A$6:$L$200,11,FALSE),0)</f>
        <v>4</v>
      </c>
      <c r="T30" s="25">
        <f t="shared" si="3"/>
        <v>347.99999999999989</v>
      </c>
      <c r="U30" s="25">
        <f t="shared" si="4"/>
        <v>260.99999999999994</v>
      </c>
      <c r="V30" s="25">
        <f t="shared" si="5"/>
        <v>0.34799999999999992</v>
      </c>
      <c r="W30" s="25">
        <f t="shared" si="6"/>
        <v>0.5219999999999998</v>
      </c>
      <c r="X30" s="25">
        <f t="shared" si="7"/>
        <v>2.0879999999999992E-2</v>
      </c>
      <c r="Y30" s="25">
        <f t="shared" si="8"/>
        <v>104.39999999999998</v>
      </c>
      <c r="Z30" s="25">
        <f t="shared" si="9"/>
        <v>1.7399999999999995</v>
      </c>
      <c r="AA30" s="25">
        <f t="shared" si="10"/>
        <v>69.59999999999998</v>
      </c>
    </row>
    <row r="31" spans="1:27" x14ac:dyDescent="0.75">
      <c r="A31" s="7" t="str">
        <f>Materials!A31</f>
        <v>PRO</v>
      </c>
      <c r="B31" s="7" t="str">
        <f>Materials!B31</f>
        <v>GFRP</v>
      </c>
      <c r="C31" s="7" t="str">
        <f>Materials!C31</f>
        <v>Composite</v>
      </c>
      <c r="D31" s="15">
        <f>IFERROR(VLOOKUP(A31,Assemblies!$A$6:$N$11,6,FALSE),0)</f>
        <v>2000</v>
      </c>
      <c r="E31" s="20">
        <f>Materials!E31</f>
        <v>0</v>
      </c>
      <c r="F31" s="24">
        <f t="shared" si="0"/>
        <v>0</v>
      </c>
      <c r="G31" s="7" t="str">
        <f>Materials!F31</f>
        <v>Estimated</v>
      </c>
      <c r="H31" s="19">
        <f>IFERROR(VLOOKUP(G31,'Data Quality'!$A$6:$D$9,3,FALSE),0)</f>
        <v>0.1</v>
      </c>
      <c r="I31" s="24">
        <f t="shared" si="1"/>
        <v>0</v>
      </c>
      <c r="J31" s="7" t="str">
        <f>Materials!H31</f>
        <v>N</v>
      </c>
      <c r="K31" s="7" t="str">
        <f t="shared" si="2"/>
        <v>Raw_GFRP</v>
      </c>
      <c r="L31" s="22">
        <f>IFERROR(VLOOKUP($K31,'OpenLCA Factors'!$A$6:$L$200,4,FALSE),0)</f>
        <v>5</v>
      </c>
      <c r="M31" s="22">
        <f>IFERROR(VLOOKUP($K31,'OpenLCA Factors'!$A$6:$L$200,5,FALSE),0)</f>
        <v>4</v>
      </c>
      <c r="N31" s="22">
        <f>IFERROR(VLOOKUP($K31,'OpenLCA Factors'!$A$6:$L$200,6,FALSE),0)</f>
        <v>6.0000000000000001E-3</v>
      </c>
      <c r="O31" s="22">
        <f>IFERROR(VLOOKUP($K31,'OpenLCA Factors'!$A$6:$L$200,7,FALSE),0)</f>
        <v>8.0000000000000002E-3</v>
      </c>
      <c r="P31" s="22">
        <f>IFERROR(VLOOKUP($K31,'OpenLCA Factors'!$A$6:$L$200,8,FALSE),0)</f>
        <v>4.0000000000000002E-4</v>
      </c>
      <c r="Q31" s="22">
        <f>IFERROR(VLOOKUP($K31,'OpenLCA Factors'!$A$6:$L$200,9,FALSE),0)</f>
        <v>1.2</v>
      </c>
      <c r="R31" s="22">
        <f>IFERROR(VLOOKUP($K31,'OpenLCA Factors'!$A$6:$L$200,10,FALSE),0)</f>
        <v>0.03</v>
      </c>
      <c r="S31" s="22">
        <f>IFERROR(VLOOKUP($K31,'OpenLCA Factors'!$A$6:$L$200,11,FALSE),0)</f>
        <v>0.8</v>
      </c>
      <c r="T31" s="25">
        <f t="shared" si="3"/>
        <v>0</v>
      </c>
      <c r="U31" s="25">
        <f t="shared" si="4"/>
        <v>0</v>
      </c>
      <c r="V31" s="25">
        <f t="shared" si="5"/>
        <v>0</v>
      </c>
      <c r="W31" s="25">
        <f t="shared" si="6"/>
        <v>0</v>
      </c>
      <c r="X31" s="25">
        <f t="shared" si="7"/>
        <v>0</v>
      </c>
      <c r="Y31" s="25">
        <f t="shared" si="8"/>
        <v>0</v>
      </c>
      <c r="Z31" s="25">
        <f t="shared" si="9"/>
        <v>0</v>
      </c>
      <c r="AA31" s="25">
        <f t="shared" si="10"/>
        <v>0</v>
      </c>
    </row>
    <row r="32" spans="1:27" x14ac:dyDescent="0.75">
      <c r="A32" s="7" t="str">
        <f>Materials!A32</f>
        <v>PRO</v>
      </c>
      <c r="B32" s="7" t="str">
        <f>Materials!B32</f>
        <v>Titanium</v>
      </c>
      <c r="C32" s="7" t="str">
        <f>Materials!C32</f>
        <v>Metal</v>
      </c>
      <c r="D32" s="15">
        <f>IFERROR(VLOOKUP(A32,Assemblies!$A$6:$N$11,6,FALSE),0)</f>
        <v>2000</v>
      </c>
      <c r="E32" s="20">
        <f>Materials!E32</f>
        <v>0.52169999999999994</v>
      </c>
      <c r="F32" s="24">
        <f t="shared" si="0"/>
        <v>1043.3999999999999</v>
      </c>
      <c r="G32" s="7" t="str">
        <f>Materials!F32</f>
        <v>Estimated</v>
      </c>
      <c r="H32" s="19">
        <f>IFERROR(VLOOKUP(G32,'Data Quality'!$A$6:$D$9,3,FALSE),0)</f>
        <v>0.1</v>
      </c>
      <c r="I32" s="24">
        <f t="shared" si="1"/>
        <v>104.33999999999999</v>
      </c>
      <c r="J32" s="7" t="str">
        <f>Materials!H32</f>
        <v>N</v>
      </c>
      <c r="K32" s="7" t="str">
        <f t="shared" si="2"/>
        <v>Raw_Titanium</v>
      </c>
      <c r="L32" s="22">
        <f>IFERROR(VLOOKUP($K32,'OpenLCA Factors'!$A$6:$L$200,4,FALSE),0)</f>
        <v>35</v>
      </c>
      <c r="M32" s="22">
        <f>IFERROR(VLOOKUP($K32,'OpenLCA Factors'!$A$6:$L$200,5,FALSE),0)</f>
        <v>12</v>
      </c>
      <c r="N32" s="22">
        <f>IFERROR(VLOOKUP($K32,'OpenLCA Factors'!$A$6:$L$200,6,FALSE),0)</f>
        <v>0.02</v>
      </c>
      <c r="O32" s="22">
        <f>IFERROR(VLOOKUP($K32,'OpenLCA Factors'!$A$6:$L$200,7,FALSE),0)</f>
        <v>2.5000000000000001E-2</v>
      </c>
      <c r="P32" s="22">
        <f>IFERROR(VLOOKUP($K32,'OpenLCA Factors'!$A$6:$L$200,8,FALSE),0)</f>
        <v>8.0000000000000004E-4</v>
      </c>
      <c r="Q32" s="22">
        <f>IFERROR(VLOOKUP($K32,'OpenLCA Factors'!$A$6:$L$200,9,FALSE),0)</f>
        <v>8.5</v>
      </c>
      <c r="R32" s="22">
        <f>IFERROR(VLOOKUP($K32,'OpenLCA Factors'!$A$6:$L$200,10,FALSE),0)</f>
        <v>0.08</v>
      </c>
      <c r="S32" s="22">
        <f>IFERROR(VLOOKUP($K32,'OpenLCA Factors'!$A$6:$L$200,11,FALSE),0)</f>
        <v>5.5</v>
      </c>
      <c r="T32" s="25">
        <f t="shared" si="3"/>
        <v>36518.999999999993</v>
      </c>
      <c r="U32" s="25">
        <f t="shared" si="4"/>
        <v>12520.8</v>
      </c>
      <c r="V32" s="25">
        <f t="shared" si="5"/>
        <v>20.867999999999999</v>
      </c>
      <c r="W32" s="25">
        <f t="shared" si="6"/>
        <v>26.084999999999997</v>
      </c>
      <c r="X32" s="25">
        <f t="shared" si="7"/>
        <v>0.83471999999999991</v>
      </c>
      <c r="Y32" s="25">
        <f t="shared" si="8"/>
        <v>8868.9</v>
      </c>
      <c r="Z32" s="25">
        <f t="shared" si="9"/>
        <v>83.471999999999994</v>
      </c>
      <c r="AA32" s="25">
        <f t="shared" si="10"/>
        <v>5738.6999999999989</v>
      </c>
    </row>
    <row r="33" spans="1:27" x14ac:dyDescent="0.75">
      <c r="A33" s="7" t="str">
        <f>Materials!A33</f>
        <v>PRO</v>
      </c>
      <c r="B33" s="7" t="str">
        <f>Materials!B33</f>
        <v>NickelSuperalloy</v>
      </c>
      <c r="C33" s="7" t="str">
        <f>Materials!C33</f>
        <v>Metal</v>
      </c>
      <c r="D33" s="15">
        <f>IFERROR(VLOOKUP(A33,Assemblies!$A$6:$N$11,6,FALSE),0)</f>
        <v>2000</v>
      </c>
      <c r="E33" s="20">
        <f>Materials!E33</f>
        <v>0.36529999999999996</v>
      </c>
      <c r="F33" s="24">
        <f t="shared" si="0"/>
        <v>730.59999999999991</v>
      </c>
      <c r="G33" s="7" t="str">
        <f>Materials!F33</f>
        <v>Estimated</v>
      </c>
      <c r="H33" s="19">
        <f>IFERROR(VLOOKUP(G33,'Data Quality'!$A$6:$D$9,3,FALSE),0)</f>
        <v>0.1</v>
      </c>
      <c r="I33" s="24">
        <f t="shared" si="1"/>
        <v>73.059999999999988</v>
      </c>
      <c r="J33" s="7" t="str">
        <f>Materials!H33</f>
        <v>N</v>
      </c>
      <c r="K33" s="7" t="str">
        <f t="shared" si="2"/>
        <v>Raw_NickelSuperalloy</v>
      </c>
      <c r="L33" s="22">
        <f>IFERROR(VLOOKUP($K33,'OpenLCA Factors'!$A$6:$L$200,4,FALSE),0)</f>
        <v>28</v>
      </c>
      <c r="M33" s="22">
        <f>IFERROR(VLOOKUP($K33,'OpenLCA Factors'!$A$6:$L$200,5,FALSE),0)</f>
        <v>10</v>
      </c>
      <c r="N33" s="22">
        <f>IFERROR(VLOOKUP($K33,'OpenLCA Factors'!$A$6:$L$200,6,FALSE),0)</f>
        <v>1.7999999999999999E-2</v>
      </c>
      <c r="O33" s="22">
        <f>IFERROR(VLOOKUP($K33,'OpenLCA Factors'!$A$6:$L$200,7,FALSE),0)</f>
        <v>0.02</v>
      </c>
      <c r="P33" s="22">
        <f>IFERROR(VLOOKUP($K33,'OpenLCA Factors'!$A$6:$L$200,8,FALSE),0)</f>
        <v>6.9999999999999999E-4</v>
      </c>
      <c r="Q33" s="22">
        <f>IFERROR(VLOOKUP($K33,'OpenLCA Factors'!$A$6:$L$200,9,FALSE),0)</f>
        <v>12</v>
      </c>
      <c r="R33" s="22">
        <f>IFERROR(VLOOKUP($K33,'OpenLCA Factors'!$A$6:$L$200,10,FALSE),0)</f>
        <v>0.06</v>
      </c>
      <c r="S33" s="22">
        <f>IFERROR(VLOOKUP($K33,'OpenLCA Factors'!$A$6:$L$200,11,FALSE),0)</f>
        <v>6.2</v>
      </c>
      <c r="T33" s="25">
        <f t="shared" si="3"/>
        <v>20456.799999999996</v>
      </c>
      <c r="U33" s="25">
        <f t="shared" si="4"/>
        <v>7305.9999999999991</v>
      </c>
      <c r="V33" s="25">
        <f t="shared" si="5"/>
        <v>13.150799999999997</v>
      </c>
      <c r="W33" s="25">
        <f t="shared" si="6"/>
        <v>14.611999999999998</v>
      </c>
      <c r="X33" s="25">
        <f t="shared" si="7"/>
        <v>0.51141999999999999</v>
      </c>
      <c r="Y33" s="25">
        <f t="shared" si="8"/>
        <v>8767.1999999999989</v>
      </c>
      <c r="Z33" s="25">
        <f t="shared" si="9"/>
        <v>43.835999999999991</v>
      </c>
      <c r="AA33" s="25">
        <f t="shared" si="10"/>
        <v>4529.7199999999993</v>
      </c>
    </row>
    <row r="34" spans="1:27" x14ac:dyDescent="0.75">
      <c r="A34" s="7" t="str">
        <f>Materials!A34</f>
        <v>PRO</v>
      </c>
      <c r="B34" s="7" t="str">
        <f>Materials!B34</f>
        <v>Steel</v>
      </c>
      <c r="C34" s="7" t="str">
        <f>Materials!C34</f>
        <v>Metal</v>
      </c>
      <c r="D34" s="15">
        <f>IFERROR(VLOOKUP(A34,Assemblies!$A$6:$N$11,6,FALSE),0)</f>
        <v>2000</v>
      </c>
      <c r="E34" s="20">
        <f>Materials!E34</f>
        <v>6.9599999999999981E-2</v>
      </c>
      <c r="F34" s="24">
        <f t="shared" si="0"/>
        <v>139.19999999999996</v>
      </c>
      <c r="G34" s="7" t="str">
        <f>Materials!F34</f>
        <v>Estimated</v>
      </c>
      <c r="H34" s="19">
        <f>IFERROR(VLOOKUP(G34,'Data Quality'!$A$6:$D$9,3,FALSE),0)</f>
        <v>0.1</v>
      </c>
      <c r="I34" s="24">
        <f t="shared" si="1"/>
        <v>13.919999999999996</v>
      </c>
      <c r="J34" s="7" t="str">
        <f>Materials!H34</f>
        <v>N</v>
      </c>
      <c r="K34" s="7" t="str">
        <f t="shared" si="2"/>
        <v>Raw_Steel</v>
      </c>
      <c r="L34" s="22">
        <f>IFERROR(VLOOKUP($K34,'OpenLCA Factors'!$A$6:$L$200,4,FALSE),0)</f>
        <v>2.5</v>
      </c>
      <c r="M34" s="22">
        <f>IFERROR(VLOOKUP($K34,'OpenLCA Factors'!$A$6:$L$200,5,FALSE),0)</f>
        <v>2</v>
      </c>
      <c r="N34" s="22">
        <f>IFERROR(VLOOKUP($K34,'OpenLCA Factors'!$A$6:$L$200,6,FALSE),0)</f>
        <v>3.0000000000000001E-3</v>
      </c>
      <c r="O34" s="22">
        <f>IFERROR(VLOOKUP($K34,'OpenLCA Factors'!$A$6:$L$200,7,FALSE),0)</f>
        <v>4.0000000000000001E-3</v>
      </c>
      <c r="P34" s="22">
        <f>IFERROR(VLOOKUP($K34,'OpenLCA Factors'!$A$6:$L$200,8,FALSE),0)</f>
        <v>2.0000000000000001E-4</v>
      </c>
      <c r="Q34" s="22">
        <f>IFERROR(VLOOKUP($K34,'OpenLCA Factors'!$A$6:$L$200,9,FALSE),0)</f>
        <v>0.9</v>
      </c>
      <c r="R34" s="22">
        <f>IFERROR(VLOOKUP($K34,'OpenLCA Factors'!$A$6:$L$200,10,FALSE),0)</f>
        <v>0.02</v>
      </c>
      <c r="S34" s="22">
        <f>IFERROR(VLOOKUP($K34,'OpenLCA Factors'!$A$6:$L$200,11,FALSE),0)</f>
        <v>0.5</v>
      </c>
      <c r="T34" s="25">
        <f t="shared" si="3"/>
        <v>347.99999999999989</v>
      </c>
      <c r="U34" s="25">
        <f t="shared" si="4"/>
        <v>278.39999999999992</v>
      </c>
      <c r="V34" s="25">
        <f t="shared" si="5"/>
        <v>0.41759999999999992</v>
      </c>
      <c r="W34" s="25">
        <f t="shared" si="6"/>
        <v>0.55679999999999985</v>
      </c>
      <c r="X34" s="25">
        <f t="shared" si="7"/>
        <v>2.7839999999999993E-2</v>
      </c>
      <c r="Y34" s="25">
        <f t="shared" si="8"/>
        <v>125.27999999999997</v>
      </c>
      <c r="Z34" s="25">
        <f t="shared" si="9"/>
        <v>2.7839999999999994</v>
      </c>
      <c r="AA34" s="25">
        <f t="shared" si="10"/>
        <v>69.59999999999998</v>
      </c>
    </row>
    <row r="35" spans="1:27" x14ac:dyDescent="0.75">
      <c r="A35" s="7" t="str">
        <f>Materials!A35</f>
        <v>PRO</v>
      </c>
      <c r="B35" s="7" t="str">
        <f>Materials!B35</f>
        <v>Aluminium</v>
      </c>
      <c r="C35" s="7" t="str">
        <f>Materials!C35</f>
        <v>Metal</v>
      </c>
      <c r="D35" s="15">
        <f>IFERROR(VLOOKUP(A35,Assemblies!$A$6:$N$11,6,FALSE),0)</f>
        <v>2000</v>
      </c>
      <c r="E35" s="20">
        <f>Materials!E35</f>
        <v>0</v>
      </c>
      <c r="F35" s="24">
        <f t="shared" si="0"/>
        <v>0</v>
      </c>
      <c r="G35" s="7" t="str">
        <f>Materials!F35</f>
        <v>Estimated</v>
      </c>
      <c r="H35" s="19">
        <f>IFERROR(VLOOKUP(G35,'Data Quality'!$A$6:$D$9,3,FALSE),0)</f>
        <v>0.1</v>
      </c>
      <c r="I35" s="24">
        <f t="shared" si="1"/>
        <v>0</v>
      </c>
      <c r="J35" s="7" t="str">
        <f>Materials!H35</f>
        <v>N</v>
      </c>
      <c r="K35" s="7" t="str">
        <f t="shared" si="2"/>
        <v>Raw_Aluminium</v>
      </c>
      <c r="L35" s="22">
        <f>IFERROR(VLOOKUP($K35,'OpenLCA Factors'!$A$6:$L$200,4,FALSE),0)</f>
        <v>10</v>
      </c>
      <c r="M35" s="22">
        <f>IFERROR(VLOOKUP($K35,'OpenLCA Factors'!$A$6:$L$200,5,FALSE),0)</f>
        <v>7</v>
      </c>
      <c r="N35" s="22">
        <f>IFERROR(VLOOKUP($K35,'OpenLCA Factors'!$A$6:$L$200,6,FALSE),0)</f>
        <v>0.01</v>
      </c>
      <c r="O35" s="22">
        <f>IFERROR(VLOOKUP($K35,'OpenLCA Factors'!$A$6:$L$200,7,FALSE),0)</f>
        <v>1.2E-2</v>
      </c>
      <c r="P35" s="22">
        <f>IFERROR(VLOOKUP($K35,'OpenLCA Factors'!$A$6:$L$200,8,FALSE),0)</f>
        <v>5.0000000000000001E-4</v>
      </c>
      <c r="Q35" s="22">
        <f>IFERROR(VLOOKUP($K35,'OpenLCA Factors'!$A$6:$L$200,9,FALSE),0)</f>
        <v>2.5</v>
      </c>
      <c r="R35" s="22">
        <f>IFERROR(VLOOKUP($K35,'OpenLCA Factors'!$A$6:$L$200,10,FALSE),0)</f>
        <v>0.04</v>
      </c>
      <c r="S35" s="22">
        <f>IFERROR(VLOOKUP($K35,'OpenLCA Factors'!$A$6:$L$200,11,FALSE),0)</f>
        <v>1.6</v>
      </c>
      <c r="T35" s="25">
        <f t="shared" si="3"/>
        <v>0</v>
      </c>
      <c r="U35" s="25">
        <f t="shared" si="4"/>
        <v>0</v>
      </c>
      <c r="V35" s="25">
        <f t="shared" si="5"/>
        <v>0</v>
      </c>
      <c r="W35" s="25">
        <f t="shared" si="6"/>
        <v>0</v>
      </c>
      <c r="X35" s="25">
        <f t="shared" si="7"/>
        <v>0</v>
      </c>
      <c r="Y35" s="25">
        <f t="shared" si="8"/>
        <v>0</v>
      </c>
      <c r="Z35" s="25">
        <f t="shared" si="9"/>
        <v>0</v>
      </c>
      <c r="AA35" s="25">
        <f t="shared" si="10"/>
        <v>0</v>
      </c>
    </row>
    <row r="36" spans="1:27" x14ac:dyDescent="0.75">
      <c r="A36" s="7" t="str">
        <f>Materials!A36</f>
        <v>PRO</v>
      </c>
      <c r="B36" s="7" t="str">
        <f>Materials!B36</f>
        <v>Electronics</v>
      </c>
      <c r="C36" s="7" t="str">
        <f>Materials!C36</f>
        <v>Electronics</v>
      </c>
      <c r="D36" s="15">
        <f>IFERROR(VLOOKUP(A36,Assemblies!$A$6:$N$11,6,FALSE),0)</f>
        <v>2000</v>
      </c>
      <c r="E36" s="20">
        <f>Materials!E36</f>
        <v>1.2999999999999996E-2</v>
      </c>
      <c r="F36" s="24">
        <f t="shared" si="0"/>
        <v>25.999999999999993</v>
      </c>
      <c r="G36" s="7" t="str">
        <f>Materials!F36</f>
        <v>Estimated</v>
      </c>
      <c r="H36" s="19">
        <f>IFERROR(VLOOKUP(G36,'Data Quality'!$A$6:$D$9,3,FALSE),0)</f>
        <v>0.1</v>
      </c>
      <c r="I36" s="24">
        <f t="shared" si="1"/>
        <v>2.5999999999999996</v>
      </c>
      <c r="J36" s="7" t="str">
        <f>Materials!H36</f>
        <v>N</v>
      </c>
      <c r="K36" s="7" t="str">
        <f t="shared" si="2"/>
        <v>Raw_Electronics</v>
      </c>
      <c r="L36" s="22">
        <f>IFERROR(VLOOKUP($K36,'OpenLCA Factors'!$A$6:$L$200,4,FALSE),0)</f>
        <v>30</v>
      </c>
      <c r="M36" s="22">
        <f>IFERROR(VLOOKUP($K36,'OpenLCA Factors'!$A$6:$L$200,5,FALSE),0)</f>
        <v>18</v>
      </c>
      <c r="N36" s="22">
        <f>IFERROR(VLOOKUP($K36,'OpenLCA Factors'!$A$6:$L$200,6,FALSE),0)</f>
        <v>2.5000000000000001E-2</v>
      </c>
      <c r="O36" s="22">
        <f>IFERROR(VLOOKUP($K36,'OpenLCA Factors'!$A$6:$L$200,7,FALSE),0)</f>
        <v>1.7999999999999999E-2</v>
      </c>
      <c r="P36" s="22">
        <f>IFERROR(VLOOKUP($K36,'OpenLCA Factors'!$A$6:$L$200,8,FALSE),0)</f>
        <v>8.9999999999999998E-4</v>
      </c>
      <c r="Q36" s="22">
        <f>IFERROR(VLOOKUP($K36,'OpenLCA Factors'!$A$6:$L$200,9,FALSE),0)</f>
        <v>25</v>
      </c>
      <c r="R36" s="22">
        <f>IFERROR(VLOOKUP($K36,'OpenLCA Factors'!$A$6:$L$200,10,FALSE),0)</f>
        <v>0.05</v>
      </c>
      <c r="S36" s="22">
        <f>IFERROR(VLOOKUP($K36,'OpenLCA Factors'!$A$6:$L$200,11,FALSE),0)</f>
        <v>10</v>
      </c>
      <c r="T36" s="25">
        <f t="shared" si="3"/>
        <v>779.99999999999977</v>
      </c>
      <c r="U36" s="25">
        <f t="shared" si="4"/>
        <v>467.99999999999989</v>
      </c>
      <c r="V36" s="25">
        <f t="shared" si="5"/>
        <v>0.64999999999999991</v>
      </c>
      <c r="W36" s="25">
        <f t="shared" si="6"/>
        <v>0.46799999999999986</v>
      </c>
      <c r="X36" s="25">
        <f t="shared" si="7"/>
        <v>2.3399999999999994E-2</v>
      </c>
      <c r="Y36" s="25">
        <f t="shared" si="8"/>
        <v>649.99999999999977</v>
      </c>
      <c r="Z36" s="25">
        <f t="shared" si="9"/>
        <v>1.2999999999999998</v>
      </c>
      <c r="AA36" s="25">
        <f t="shared" si="10"/>
        <v>259.99999999999994</v>
      </c>
    </row>
    <row r="37" spans="1:27" x14ac:dyDescent="0.75">
      <c r="A37" s="7" t="str">
        <f>Materials!A37</f>
        <v>PRO</v>
      </c>
      <c r="B37" s="7" t="str">
        <f>Materials!B37</f>
        <v>Other</v>
      </c>
      <c r="C37" s="7" t="str">
        <f>Materials!C37</f>
        <v>Other</v>
      </c>
      <c r="D37" s="15">
        <f>IFERROR(VLOOKUP(A37,Assemblies!$A$6:$N$11,6,FALSE),0)</f>
        <v>2000</v>
      </c>
      <c r="E37" s="20">
        <f>Materials!E37</f>
        <v>2.1699999999999997E-2</v>
      </c>
      <c r="F37" s="24">
        <f t="shared" si="0"/>
        <v>43.399999999999991</v>
      </c>
      <c r="G37" s="7" t="str">
        <f>Materials!F37</f>
        <v>Estimated</v>
      </c>
      <c r="H37" s="19">
        <f>IFERROR(VLOOKUP(G37,'Data Quality'!$A$6:$D$9,3,FALSE),0)</f>
        <v>0.1</v>
      </c>
      <c r="I37" s="24">
        <f t="shared" si="1"/>
        <v>4.339999999999999</v>
      </c>
      <c r="J37" s="7" t="str">
        <f>Materials!H37</f>
        <v>N</v>
      </c>
      <c r="K37" s="7" t="str">
        <f t="shared" si="2"/>
        <v>Raw_Other</v>
      </c>
      <c r="L37" s="22">
        <f>IFERROR(VLOOKUP($K37,'OpenLCA Factors'!$A$6:$L$200,4,FALSE),0)</f>
        <v>4</v>
      </c>
      <c r="M37" s="22">
        <f>IFERROR(VLOOKUP($K37,'OpenLCA Factors'!$A$6:$L$200,5,FALSE),0)</f>
        <v>3</v>
      </c>
      <c r="N37" s="22">
        <f>IFERROR(VLOOKUP($K37,'OpenLCA Factors'!$A$6:$L$200,6,FALSE),0)</f>
        <v>4.0000000000000001E-3</v>
      </c>
      <c r="O37" s="22">
        <f>IFERROR(VLOOKUP($K37,'OpenLCA Factors'!$A$6:$L$200,7,FALSE),0)</f>
        <v>5.0000000000000001E-3</v>
      </c>
      <c r="P37" s="22">
        <f>IFERROR(VLOOKUP($K37,'OpenLCA Factors'!$A$6:$L$200,8,FALSE),0)</f>
        <v>2.0000000000000001E-4</v>
      </c>
      <c r="Q37" s="22">
        <f>IFERROR(VLOOKUP($K37,'OpenLCA Factors'!$A$6:$L$200,9,FALSE),0)</f>
        <v>1</v>
      </c>
      <c r="R37" s="22">
        <f>IFERROR(VLOOKUP($K37,'OpenLCA Factors'!$A$6:$L$200,10,FALSE),0)</f>
        <v>0.02</v>
      </c>
      <c r="S37" s="22">
        <f>IFERROR(VLOOKUP($K37,'OpenLCA Factors'!$A$6:$L$200,11,FALSE),0)</f>
        <v>0.7</v>
      </c>
      <c r="T37" s="25">
        <f t="shared" si="3"/>
        <v>173.59999999999997</v>
      </c>
      <c r="U37" s="25">
        <f t="shared" si="4"/>
        <v>130.19999999999999</v>
      </c>
      <c r="V37" s="25">
        <f t="shared" si="5"/>
        <v>0.17359999999999998</v>
      </c>
      <c r="W37" s="25">
        <f t="shared" si="6"/>
        <v>0.21699999999999997</v>
      </c>
      <c r="X37" s="25">
        <f t="shared" si="7"/>
        <v>8.6799999999999985E-3</v>
      </c>
      <c r="Y37" s="25">
        <f t="shared" si="8"/>
        <v>43.399999999999991</v>
      </c>
      <c r="Z37" s="25">
        <f t="shared" si="9"/>
        <v>0.86799999999999988</v>
      </c>
      <c r="AA37" s="25">
        <f t="shared" si="10"/>
        <v>30.379999999999992</v>
      </c>
    </row>
    <row r="38" spans="1:27" x14ac:dyDescent="0.75">
      <c r="A38" s="7" t="str">
        <f>Materials!A38</f>
        <v>LGR</v>
      </c>
      <c r="B38" s="7" t="str">
        <f>Materials!B38</f>
        <v>CFRP</v>
      </c>
      <c r="C38" s="7" t="str">
        <f>Materials!C38</f>
        <v>Composite</v>
      </c>
      <c r="D38" s="15">
        <f>IFERROR(VLOOKUP(A38,Assemblies!$A$6:$N$11,6,FALSE),0)</f>
        <v>1242</v>
      </c>
      <c r="E38" s="20">
        <f>Materials!E38</f>
        <v>0.6280193236714976</v>
      </c>
      <c r="F38" s="24">
        <f t="shared" si="0"/>
        <v>780</v>
      </c>
      <c r="G38" s="7" t="str">
        <f>Materials!F38</f>
        <v>Proxy</v>
      </c>
      <c r="H38" s="19">
        <f>IFERROR(VLOOKUP(G38,'Data Quality'!$A$6:$D$9,3,FALSE),0)</f>
        <v>0.2</v>
      </c>
      <c r="I38" s="24">
        <f t="shared" si="1"/>
        <v>156</v>
      </c>
      <c r="J38" s="7" t="str">
        <f>Materials!H38</f>
        <v>N</v>
      </c>
      <c r="K38" s="7" t="str">
        <f t="shared" si="2"/>
        <v>Raw_CFRP</v>
      </c>
      <c r="L38" s="22">
        <f>IFERROR(VLOOKUP($K38,'OpenLCA Factors'!$A$6:$L$200,4,FALSE),0)</f>
        <v>20</v>
      </c>
      <c r="M38" s="22">
        <f>IFERROR(VLOOKUP($K38,'OpenLCA Factors'!$A$6:$L$200,5,FALSE),0)</f>
        <v>15</v>
      </c>
      <c r="N38" s="22">
        <f>IFERROR(VLOOKUP($K38,'OpenLCA Factors'!$A$6:$L$200,6,FALSE),0)</f>
        <v>0.02</v>
      </c>
      <c r="O38" s="22">
        <f>IFERROR(VLOOKUP($K38,'OpenLCA Factors'!$A$6:$L$200,7,FALSE),0)</f>
        <v>0.03</v>
      </c>
      <c r="P38" s="22">
        <f>IFERROR(VLOOKUP($K38,'OpenLCA Factors'!$A$6:$L$200,8,FALSE),0)</f>
        <v>1.1999999999999999E-3</v>
      </c>
      <c r="Q38" s="22">
        <f>IFERROR(VLOOKUP($K38,'OpenLCA Factors'!$A$6:$L$200,9,FALSE),0)</f>
        <v>6</v>
      </c>
      <c r="R38" s="22">
        <f>IFERROR(VLOOKUP($K38,'OpenLCA Factors'!$A$6:$L$200,10,FALSE),0)</f>
        <v>0.1</v>
      </c>
      <c r="S38" s="22">
        <f>IFERROR(VLOOKUP($K38,'OpenLCA Factors'!$A$6:$L$200,11,FALSE),0)</f>
        <v>4</v>
      </c>
      <c r="T38" s="25">
        <f t="shared" si="3"/>
        <v>15600</v>
      </c>
      <c r="U38" s="25">
        <f t="shared" si="4"/>
        <v>11700</v>
      </c>
      <c r="V38" s="25">
        <f t="shared" si="5"/>
        <v>15.6</v>
      </c>
      <c r="W38" s="25">
        <f t="shared" si="6"/>
        <v>23.4</v>
      </c>
      <c r="X38" s="25">
        <f t="shared" si="7"/>
        <v>0.93599999999999994</v>
      </c>
      <c r="Y38" s="25">
        <f t="shared" si="8"/>
        <v>4680</v>
      </c>
      <c r="Z38" s="25">
        <f t="shared" si="9"/>
        <v>78</v>
      </c>
      <c r="AA38" s="25">
        <f t="shared" si="10"/>
        <v>3120</v>
      </c>
    </row>
    <row r="39" spans="1:27" x14ac:dyDescent="0.75">
      <c r="A39" s="7" t="str">
        <f>Materials!A39</f>
        <v>LGR</v>
      </c>
      <c r="B39" s="7" t="str">
        <f>Materials!B39</f>
        <v>GFRP</v>
      </c>
      <c r="C39" s="7" t="str">
        <f>Materials!C39</f>
        <v>Composite</v>
      </c>
      <c r="D39" s="15">
        <f>IFERROR(VLOOKUP(A39,Assemblies!$A$6:$N$11,6,FALSE),0)</f>
        <v>1242</v>
      </c>
      <c r="E39" s="20">
        <f>Materials!E39</f>
        <v>0</v>
      </c>
      <c r="F39" s="24">
        <f t="shared" si="0"/>
        <v>0</v>
      </c>
      <c r="G39" s="7" t="str">
        <f>Materials!F39</f>
        <v>Proxy</v>
      </c>
      <c r="H39" s="19">
        <f>IFERROR(VLOOKUP(G39,'Data Quality'!$A$6:$D$9,3,FALSE),0)</f>
        <v>0.2</v>
      </c>
      <c r="I39" s="24">
        <f t="shared" si="1"/>
        <v>0</v>
      </c>
      <c r="J39" s="7" t="str">
        <f>Materials!H39</f>
        <v>N</v>
      </c>
      <c r="K39" s="7" t="str">
        <f t="shared" si="2"/>
        <v>Raw_GFRP</v>
      </c>
      <c r="L39" s="22">
        <f>IFERROR(VLOOKUP($K39,'OpenLCA Factors'!$A$6:$L$200,4,FALSE),0)</f>
        <v>5</v>
      </c>
      <c r="M39" s="22">
        <f>IFERROR(VLOOKUP($K39,'OpenLCA Factors'!$A$6:$L$200,5,FALSE),0)</f>
        <v>4</v>
      </c>
      <c r="N39" s="22">
        <f>IFERROR(VLOOKUP($K39,'OpenLCA Factors'!$A$6:$L$200,6,FALSE),0)</f>
        <v>6.0000000000000001E-3</v>
      </c>
      <c r="O39" s="22">
        <f>IFERROR(VLOOKUP($K39,'OpenLCA Factors'!$A$6:$L$200,7,FALSE),0)</f>
        <v>8.0000000000000002E-3</v>
      </c>
      <c r="P39" s="22">
        <f>IFERROR(VLOOKUP($K39,'OpenLCA Factors'!$A$6:$L$200,8,FALSE),0)</f>
        <v>4.0000000000000002E-4</v>
      </c>
      <c r="Q39" s="22">
        <f>IFERROR(VLOOKUP($K39,'OpenLCA Factors'!$A$6:$L$200,9,FALSE),0)</f>
        <v>1.2</v>
      </c>
      <c r="R39" s="22">
        <f>IFERROR(VLOOKUP($K39,'OpenLCA Factors'!$A$6:$L$200,10,FALSE),0)</f>
        <v>0.03</v>
      </c>
      <c r="S39" s="22">
        <f>IFERROR(VLOOKUP($K39,'OpenLCA Factors'!$A$6:$L$200,11,FALSE),0)</f>
        <v>0.8</v>
      </c>
      <c r="T39" s="25">
        <f t="shared" si="3"/>
        <v>0</v>
      </c>
      <c r="U39" s="25">
        <f t="shared" si="4"/>
        <v>0</v>
      </c>
      <c r="V39" s="25">
        <f t="shared" si="5"/>
        <v>0</v>
      </c>
      <c r="W39" s="25">
        <f t="shared" si="6"/>
        <v>0</v>
      </c>
      <c r="X39" s="25">
        <f t="shared" si="7"/>
        <v>0</v>
      </c>
      <c r="Y39" s="25">
        <f t="shared" si="8"/>
        <v>0</v>
      </c>
      <c r="Z39" s="25">
        <f t="shared" si="9"/>
        <v>0</v>
      </c>
      <c r="AA39" s="25">
        <f t="shared" si="10"/>
        <v>0</v>
      </c>
    </row>
    <row r="40" spans="1:27" x14ac:dyDescent="0.75">
      <c r="A40" s="7" t="str">
        <f>Materials!A40</f>
        <v>LGR</v>
      </c>
      <c r="B40" s="7" t="str">
        <f>Materials!B40</f>
        <v>Titanium</v>
      </c>
      <c r="C40" s="7" t="str">
        <f>Materials!C40</f>
        <v>Metal</v>
      </c>
      <c r="D40" s="15">
        <f>IFERROR(VLOOKUP(A40,Assemblies!$A$6:$N$11,6,FALSE),0)</f>
        <v>1242</v>
      </c>
      <c r="E40" s="20">
        <f>Materials!E40</f>
        <v>6.0386473429951688E-2</v>
      </c>
      <c r="F40" s="24">
        <f t="shared" si="0"/>
        <v>75</v>
      </c>
      <c r="G40" s="7" t="str">
        <f>Materials!F40</f>
        <v>Proxy</v>
      </c>
      <c r="H40" s="19">
        <f>IFERROR(VLOOKUP(G40,'Data Quality'!$A$6:$D$9,3,FALSE),0)</f>
        <v>0.2</v>
      </c>
      <c r="I40" s="24">
        <f t="shared" si="1"/>
        <v>15</v>
      </c>
      <c r="J40" s="7" t="str">
        <f>Materials!H40</f>
        <v>N</v>
      </c>
      <c r="K40" s="7" t="str">
        <f t="shared" si="2"/>
        <v>Raw_Titanium</v>
      </c>
      <c r="L40" s="22">
        <f>IFERROR(VLOOKUP($K40,'OpenLCA Factors'!$A$6:$L$200,4,FALSE),0)</f>
        <v>35</v>
      </c>
      <c r="M40" s="22">
        <f>IFERROR(VLOOKUP($K40,'OpenLCA Factors'!$A$6:$L$200,5,FALSE),0)</f>
        <v>12</v>
      </c>
      <c r="N40" s="22">
        <f>IFERROR(VLOOKUP($K40,'OpenLCA Factors'!$A$6:$L$200,6,FALSE),0)</f>
        <v>0.02</v>
      </c>
      <c r="O40" s="22">
        <f>IFERROR(VLOOKUP($K40,'OpenLCA Factors'!$A$6:$L$200,7,FALSE),0)</f>
        <v>2.5000000000000001E-2</v>
      </c>
      <c r="P40" s="22">
        <f>IFERROR(VLOOKUP($K40,'OpenLCA Factors'!$A$6:$L$200,8,FALSE),0)</f>
        <v>8.0000000000000004E-4</v>
      </c>
      <c r="Q40" s="22">
        <f>IFERROR(VLOOKUP($K40,'OpenLCA Factors'!$A$6:$L$200,9,FALSE),0)</f>
        <v>8.5</v>
      </c>
      <c r="R40" s="22">
        <f>IFERROR(VLOOKUP($K40,'OpenLCA Factors'!$A$6:$L$200,10,FALSE),0)</f>
        <v>0.08</v>
      </c>
      <c r="S40" s="22">
        <f>IFERROR(VLOOKUP($K40,'OpenLCA Factors'!$A$6:$L$200,11,FALSE),0)</f>
        <v>5.5</v>
      </c>
      <c r="T40" s="25">
        <f t="shared" si="3"/>
        <v>2625</v>
      </c>
      <c r="U40" s="25">
        <f t="shared" si="4"/>
        <v>900</v>
      </c>
      <c r="V40" s="25">
        <f t="shared" si="5"/>
        <v>1.5</v>
      </c>
      <c r="W40" s="25">
        <f t="shared" si="6"/>
        <v>1.875</v>
      </c>
      <c r="X40" s="25">
        <f t="shared" si="7"/>
        <v>6.0000000000000005E-2</v>
      </c>
      <c r="Y40" s="25">
        <f t="shared" si="8"/>
        <v>637.5</v>
      </c>
      <c r="Z40" s="25">
        <f t="shared" si="9"/>
        <v>6</v>
      </c>
      <c r="AA40" s="25">
        <f t="shared" si="10"/>
        <v>412.5</v>
      </c>
    </row>
    <row r="41" spans="1:27" x14ac:dyDescent="0.75">
      <c r="A41" s="7" t="str">
        <f>Materials!A41</f>
        <v>LGR</v>
      </c>
      <c r="B41" s="7" t="str">
        <f>Materials!B41</f>
        <v>NickelSuperalloy</v>
      </c>
      <c r="C41" s="7" t="str">
        <f>Materials!C41</f>
        <v>Metal</v>
      </c>
      <c r="D41" s="15">
        <f>IFERROR(VLOOKUP(A41,Assemblies!$A$6:$N$11,6,FALSE),0)</f>
        <v>1242</v>
      </c>
      <c r="E41" s="20">
        <f>Materials!E41</f>
        <v>0</v>
      </c>
      <c r="F41" s="24">
        <f t="shared" si="0"/>
        <v>0</v>
      </c>
      <c r="G41" s="7" t="str">
        <f>Materials!F41</f>
        <v>Proxy</v>
      </c>
      <c r="H41" s="19">
        <f>IFERROR(VLOOKUP(G41,'Data Quality'!$A$6:$D$9,3,FALSE),0)</f>
        <v>0.2</v>
      </c>
      <c r="I41" s="24">
        <f t="shared" si="1"/>
        <v>0</v>
      </c>
      <c r="J41" s="7" t="str">
        <f>Materials!H41</f>
        <v>N</v>
      </c>
      <c r="K41" s="7" t="str">
        <f t="shared" si="2"/>
        <v>Raw_NickelSuperalloy</v>
      </c>
      <c r="L41" s="22">
        <f>IFERROR(VLOOKUP($K41,'OpenLCA Factors'!$A$6:$L$200,4,FALSE),0)</f>
        <v>28</v>
      </c>
      <c r="M41" s="22">
        <f>IFERROR(VLOOKUP($K41,'OpenLCA Factors'!$A$6:$L$200,5,FALSE),0)</f>
        <v>10</v>
      </c>
      <c r="N41" s="22">
        <f>IFERROR(VLOOKUP($K41,'OpenLCA Factors'!$A$6:$L$200,6,FALSE),0)</f>
        <v>1.7999999999999999E-2</v>
      </c>
      <c r="O41" s="22">
        <f>IFERROR(VLOOKUP($K41,'OpenLCA Factors'!$A$6:$L$200,7,FALSE),0)</f>
        <v>0.02</v>
      </c>
      <c r="P41" s="22">
        <f>IFERROR(VLOOKUP($K41,'OpenLCA Factors'!$A$6:$L$200,8,FALSE),0)</f>
        <v>6.9999999999999999E-4</v>
      </c>
      <c r="Q41" s="22">
        <f>IFERROR(VLOOKUP($K41,'OpenLCA Factors'!$A$6:$L$200,9,FALSE),0)</f>
        <v>12</v>
      </c>
      <c r="R41" s="22">
        <f>IFERROR(VLOOKUP($K41,'OpenLCA Factors'!$A$6:$L$200,10,FALSE),0)</f>
        <v>0.06</v>
      </c>
      <c r="S41" s="22">
        <f>IFERROR(VLOOKUP($K41,'OpenLCA Factors'!$A$6:$L$200,11,FALSE),0)</f>
        <v>6.2</v>
      </c>
      <c r="T41" s="25">
        <f t="shared" si="3"/>
        <v>0</v>
      </c>
      <c r="U41" s="25">
        <f t="shared" si="4"/>
        <v>0</v>
      </c>
      <c r="V41" s="25">
        <f t="shared" si="5"/>
        <v>0</v>
      </c>
      <c r="W41" s="25">
        <f t="shared" si="6"/>
        <v>0</v>
      </c>
      <c r="X41" s="25">
        <f t="shared" si="7"/>
        <v>0</v>
      </c>
      <c r="Y41" s="25">
        <f t="shared" si="8"/>
        <v>0</v>
      </c>
      <c r="Z41" s="25">
        <f t="shared" si="9"/>
        <v>0</v>
      </c>
      <c r="AA41" s="25">
        <f t="shared" si="10"/>
        <v>0</v>
      </c>
    </row>
    <row r="42" spans="1:27" x14ac:dyDescent="0.75">
      <c r="A42" s="7" t="str">
        <f>Materials!A42</f>
        <v>LGR</v>
      </c>
      <c r="B42" s="7" t="str">
        <f>Materials!B42</f>
        <v>Steel</v>
      </c>
      <c r="C42" s="7" t="str">
        <f>Materials!C42</f>
        <v>Metal</v>
      </c>
      <c r="D42" s="15">
        <f>IFERROR(VLOOKUP(A42,Assemblies!$A$6:$N$11,6,FALSE),0)</f>
        <v>1242</v>
      </c>
      <c r="E42" s="20">
        <f>Materials!E42</f>
        <v>0.27294685990338158</v>
      </c>
      <c r="F42" s="24">
        <f t="shared" si="0"/>
        <v>338.99999999999994</v>
      </c>
      <c r="G42" s="7" t="str">
        <f>Materials!F42</f>
        <v>Proxy</v>
      </c>
      <c r="H42" s="19">
        <f>IFERROR(VLOOKUP(G42,'Data Quality'!$A$6:$D$9,3,FALSE),0)</f>
        <v>0.2</v>
      </c>
      <c r="I42" s="24">
        <f t="shared" si="1"/>
        <v>67.8</v>
      </c>
      <c r="J42" s="7" t="str">
        <f>Materials!H42</f>
        <v>N</v>
      </c>
      <c r="K42" s="7" t="str">
        <f t="shared" si="2"/>
        <v>Raw_Steel</v>
      </c>
      <c r="L42" s="22">
        <f>IFERROR(VLOOKUP($K42,'OpenLCA Factors'!$A$6:$L$200,4,FALSE),0)</f>
        <v>2.5</v>
      </c>
      <c r="M42" s="22">
        <f>IFERROR(VLOOKUP($K42,'OpenLCA Factors'!$A$6:$L$200,5,FALSE),0)</f>
        <v>2</v>
      </c>
      <c r="N42" s="22">
        <f>IFERROR(VLOOKUP($K42,'OpenLCA Factors'!$A$6:$L$200,6,FALSE),0)</f>
        <v>3.0000000000000001E-3</v>
      </c>
      <c r="O42" s="22">
        <f>IFERROR(VLOOKUP($K42,'OpenLCA Factors'!$A$6:$L$200,7,FALSE),0)</f>
        <v>4.0000000000000001E-3</v>
      </c>
      <c r="P42" s="22">
        <f>IFERROR(VLOOKUP($K42,'OpenLCA Factors'!$A$6:$L$200,8,FALSE),0)</f>
        <v>2.0000000000000001E-4</v>
      </c>
      <c r="Q42" s="22">
        <f>IFERROR(VLOOKUP($K42,'OpenLCA Factors'!$A$6:$L$200,9,FALSE),0)</f>
        <v>0.9</v>
      </c>
      <c r="R42" s="22">
        <f>IFERROR(VLOOKUP($K42,'OpenLCA Factors'!$A$6:$L$200,10,FALSE),0)</f>
        <v>0.02</v>
      </c>
      <c r="S42" s="22">
        <f>IFERROR(VLOOKUP($K42,'OpenLCA Factors'!$A$6:$L$200,11,FALSE),0)</f>
        <v>0.5</v>
      </c>
      <c r="T42" s="25">
        <f t="shared" si="3"/>
        <v>847.49999999999989</v>
      </c>
      <c r="U42" s="25">
        <f t="shared" si="4"/>
        <v>677.99999999999989</v>
      </c>
      <c r="V42" s="25">
        <f t="shared" si="5"/>
        <v>1.0169999999999999</v>
      </c>
      <c r="W42" s="25">
        <f t="shared" si="6"/>
        <v>1.3559999999999999</v>
      </c>
      <c r="X42" s="25">
        <f t="shared" si="7"/>
        <v>6.7799999999999985E-2</v>
      </c>
      <c r="Y42" s="25">
        <f t="shared" si="8"/>
        <v>305.09999999999997</v>
      </c>
      <c r="Z42" s="25">
        <f t="shared" si="9"/>
        <v>6.7799999999999994</v>
      </c>
      <c r="AA42" s="25">
        <f t="shared" si="10"/>
        <v>169.49999999999997</v>
      </c>
    </row>
    <row r="43" spans="1:27" x14ac:dyDescent="0.75">
      <c r="A43" s="7" t="str">
        <f>Materials!A43</f>
        <v>LGR</v>
      </c>
      <c r="B43" s="7" t="str">
        <f>Materials!B43</f>
        <v>Aluminium</v>
      </c>
      <c r="C43" s="7" t="str">
        <f>Materials!C43</f>
        <v>Metal</v>
      </c>
      <c r="D43" s="15">
        <f>IFERROR(VLOOKUP(A43,Assemblies!$A$6:$N$11,6,FALSE),0)</f>
        <v>1242</v>
      </c>
      <c r="E43" s="20">
        <f>Materials!E43</f>
        <v>3.864734299516908E-2</v>
      </c>
      <c r="F43" s="24">
        <f t="shared" si="0"/>
        <v>48</v>
      </c>
      <c r="G43" s="7" t="str">
        <f>Materials!F43</f>
        <v>Proxy</v>
      </c>
      <c r="H43" s="19">
        <f>IFERROR(VLOOKUP(G43,'Data Quality'!$A$6:$D$9,3,FALSE),0)</f>
        <v>0.2</v>
      </c>
      <c r="I43" s="24">
        <f t="shared" si="1"/>
        <v>9.6000000000000014</v>
      </c>
      <c r="J43" s="7" t="str">
        <f>Materials!H43</f>
        <v>N</v>
      </c>
      <c r="K43" s="7" t="str">
        <f t="shared" si="2"/>
        <v>Raw_Aluminium</v>
      </c>
      <c r="L43" s="22">
        <f>IFERROR(VLOOKUP($K43,'OpenLCA Factors'!$A$6:$L$200,4,FALSE),0)</f>
        <v>10</v>
      </c>
      <c r="M43" s="22">
        <f>IFERROR(VLOOKUP($K43,'OpenLCA Factors'!$A$6:$L$200,5,FALSE),0)</f>
        <v>7</v>
      </c>
      <c r="N43" s="22">
        <f>IFERROR(VLOOKUP($K43,'OpenLCA Factors'!$A$6:$L$200,6,FALSE),0)</f>
        <v>0.01</v>
      </c>
      <c r="O43" s="22">
        <f>IFERROR(VLOOKUP($K43,'OpenLCA Factors'!$A$6:$L$200,7,FALSE),0)</f>
        <v>1.2E-2</v>
      </c>
      <c r="P43" s="22">
        <f>IFERROR(VLOOKUP($K43,'OpenLCA Factors'!$A$6:$L$200,8,FALSE),0)</f>
        <v>5.0000000000000001E-4</v>
      </c>
      <c r="Q43" s="22">
        <f>IFERROR(VLOOKUP($K43,'OpenLCA Factors'!$A$6:$L$200,9,FALSE),0)</f>
        <v>2.5</v>
      </c>
      <c r="R43" s="22">
        <f>IFERROR(VLOOKUP($K43,'OpenLCA Factors'!$A$6:$L$200,10,FALSE),0)</f>
        <v>0.04</v>
      </c>
      <c r="S43" s="22">
        <f>IFERROR(VLOOKUP($K43,'OpenLCA Factors'!$A$6:$L$200,11,FALSE),0)</f>
        <v>1.6</v>
      </c>
      <c r="T43" s="25">
        <f t="shared" si="3"/>
        <v>480</v>
      </c>
      <c r="U43" s="25">
        <f t="shared" si="4"/>
        <v>336</v>
      </c>
      <c r="V43" s="25">
        <f t="shared" si="5"/>
        <v>0.48</v>
      </c>
      <c r="W43" s="25">
        <f t="shared" si="6"/>
        <v>0.57600000000000007</v>
      </c>
      <c r="X43" s="25">
        <f t="shared" si="7"/>
        <v>2.4E-2</v>
      </c>
      <c r="Y43" s="25">
        <f t="shared" si="8"/>
        <v>120</v>
      </c>
      <c r="Z43" s="25">
        <f t="shared" si="9"/>
        <v>1.92</v>
      </c>
      <c r="AA43" s="25">
        <f t="shared" si="10"/>
        <v>76.800000000000011</v>
      </c>
    </row>
    <row r="44" spans="1:27" x14ac:dyDescent="0.75">
      <c r="A44" s="7" t="str">
        <f>Materials!A44</f>
        <v>LGR</v>
      </c>
      <c r="B44" s="7" t="str">
        <f>Materials!B44</f>
        <v>Electronics</v>
      </c>
      <c r="C44" s="7" t="str">
        <f>Materials!C44</f>
        <v>Electronics</v>
      </c>
      <c r="D44" s="15">
        <f>IFERROR(VLOOKUP(A44,Assemblies!$A$6:$N$11,6,FALSE),0)</f>
        <v>1242</v>
      </c>
      <c r="E44" s="20">
        <f>Materials!E44</f>
        <v>0</v>
      </c>
      <c r="F44" s="24">
        <f t="shared" si="0"/>
        <v>0</v>
      </c>
      <c r="G44" s="7" t="str">
        <f>Materials!F44</f>
        <v>Proxy</v>
      </c>
      <c r="H44" s="19">
        <f>IFERROR(VLOOKUP(G44,'Data Quality'!$A$6:$D$9,3,FALSE),0)</f>
        <v>0.2</v>
      </c>
      <c r="I44" s="24">
        <f t="shared" si="1"/>
        <v>0</v>
      </c>
      <c r="J44" s="7" t="str">
        <f>Materials!H44</f>
        <v>N</v>
      </c>
      <c r="K44" s="7" t="str">
        <f t="shared" si="2"/>
        <v>Raw_Electronics</v>
      </c>
      <c r="L44" s="22">
        <f>IFERROR(VLOOKUP($K44,'OpenLCA Factors'!$A$6:$L$200,4,FALSE),0)</f>
        <v>30</v>
      </c>
      <c r="M44" s="22">
        <f>IFERROR(VLOOKUP($K44,'OpenLCA Factors'!$A$6:$L$200,5,FALSE),0)</f>
        <v>18</v>
      </c>
      <c r="N44" s="22">
        <f>IFERROR(VLOOKUP($K44,'OpenLCA Factors'!$A$6:$L$200,6,FALSE),0)</f>
        <v>2.5000000000000001E-2</v>
      </c>
      <c r="O44" s="22">
        <f>IFERROR(VLOOKUP($K44,'OpenLCA Factors'!$A$6:$L$200,7,FALSE),0)</f>
        <v>1.7999999999999999E-2</v>
      </c>
      <c r="P44" s="22">
        <f>IFERROR(VLOOKUP($K44,'OpenLCA Factors'!$A$6:$L$200,8,FALSE),0)</f>
        <v>8.9999999999999998E-4</v>
      </c>
      <c r="Q44" s="22">
        <f>IFERROR(VLOOKUP($K44,'OpenLCA Factors'!$A$6:$L$200,9,FALSE),0)</f>
        <v>25</v>
      </c>
      <c r="R44" s="22">
        <f>IFERROR(VLOOKUP($K44,'OpenLCA Factors'!$A$6:$L$200,10,FALSE),0)</f>
        <v>0.05</v>
      </c>
      <c r="S44" s="22">
        <f>IFERROR(VLOOKUP($K44,'OpenLCA Factors'!$A$6:$L$200,11,FALSE),0)</f>
        <v>10</v>
      </c>
      <c r="T44" s="25">
        <f t="shared" si="3"/>
        <v>0</v>
      </c>
      <c r="U44" s="25">
        <f t="shared" si="4"/>
        <v>0</v>
      </c>
      <c r="V44" s="25">
        <f t="shared" si="5"/>
        <v>0</v>
      </c>
      <c r="W44" s="25">
        <f t="shared" si="6"/>
        <v>0</v>
      </c>
      <c r="X44" s="25">
        <f t="shared" si="7"/>
        <v>0</v>
      </c>
      <c r="Y44" s="25">
        <f t="shared" si="8"/>
        <v>0</v>
      </c>
      <c r="Z44" s="25">
        <f t="shared" si="9"/>
        <v>0</v>
      </c>
      <c r="AA44" s="25">
        <f t="shared" si="10"/>
        <v>0</v>
      </c>
    </row>
    <row r="45" spans="1:27" x14ac:dyDescent="0.75">
      <c r="A45" s="7" t="str">
        <f>Materials!A45</f>
        <v>LGR</v>
      </c>
      <c r="B45" s="7" t="str">
        <f>Materials!B45</f>
        <v>Other</v>
      </c>
      <c r="C45" s="7" t="str">
        <f>Materials!C45</f>
        <v>Other</v>
      </c>
      <c r="D45" s="15">
        <f>IFERROR(VLOOKUP(A45,Assemblies!$A$6:$N$11,6,FALSE),0)</f>
        <v>1242</v>
      </c>
      <c r="E45" s="20">
        <f>Materials!E45</f>
        <v>0</v>
      </c>
      <c r="F45" s="24">
        <f t="shared" si="0"/>
        <v>0</v>
      </c>
      <c r="G45" s="7" t="str">
        <f>Materials!F45</f>
        <v>Proxy</v>
      </c>
      <c r="H45" s="19">
        <f>IFERROR(VLOOKUP(G45,'Data Quality'!$A$6:$D$9,3,FALSE),0)</f>
        <v>0.2</v>
      </c>
      <c r="I45" s="24">
        <f t="shared" si="1"/>
        <v>0</v>
      </c>
      <c r="J45" s="7" t="str">
        <f>Materials!H45</f>
        <v>N</v>
      </c>
      <c r="K45" s="7" t="str">
        <f t="shared" si="2"/>
        <v>Raw_Other</v>
      </c>
      <c r="L45" s="22">
        <f>IFERROR(VLOOKUP($K45,'OpenLCA Factors'!$A$6:$L$200,4,FALSE),0)</f>
        <v>4</v>
      </c>
      <c r="M45" s="22">
        <f>IFERROR(VLOOKUP($K45,'OpenLCA Factors'!$A$6:$L$200,5,FALSE),0)</f>
        <v>3</v>
      </c>
      <c r="N45" s="22">
        <f>IFERROR(VLOOKUP($K45,'OpenLCA Factors'!$A$6:$L$200,6,FALSE),0)</f>
        <v>4.0000000000000001E-3</v>
      </c>
      <c r="O45" s="22">
        <f>IFERROR(VLOOKUP($K45,'OpenLCA Factors'!$A$6:$L$200,7,FALSE),0)</f>
        <v>5.0000000000000001E-3</v>
      </c>
      <c r="P45" s="22">
        <f>IFERROR(VLOOKUP($K45,'OpenLCA Factors'!$A$6:$L$200,8,FALSE),0)</f>
        <v>2.0000000000000001E-4</v>
      </c>
      <c r="Q45" s="22">
        <f>IFERROR(VLOOKUP($K45,'OpenLCA Factors'!$A$6:$L$200,9,FALSE),0)</f>
        <v>1</v>
      </c>
      <c r="R45" s="22">
        <f>IFERROR(VLOOKUP($K45,'OpenLCA Factors'!$A$6:$L$200,10,FALSE),0)</f>
        <v>0.02</v>
      </c>
      <c r="S45" s="22">
        <f>IFERROR(VLOOKUP($K45,'OpenLCA Factors'!$A$6:$L$200,11,FALSE),0)</f>
        <v>0.7</v>
      </c>
      <c r="T45" s="25">
        <f t="shared" si="3"/>
        <v>0</v>
      </c>
      <c r="U45" s="25">
        <f t="shared" si="4"/>
        <v>0</v>
      </c>
      <c r="V45" s="25">
        <f t="shared" si="5"/>
        <v>0</v>
      </c>
      <c r="W45" s="25">
        <f t="shared" si="6"/>
        <v>0</v>
      </c>
      <c r="X45" s="25">
        <f t="shared" si="7"/>
        <v>0</v>
      </c>
      <c r="Y45" s="25">
        <f t="shared" si="8"/>
        <v>0</v>
      </c>
      <c r="Z45" s="25">
        <f t="shared" si="9"/>
        <v>0</v>
      </c>
      <c r="AA45" s="25">
        <f t="shared" si="10"/>
        <v>0</v>
      </c>
    </row>
    <row r="46" spans="1:27" x14ac:dyDescent="0.75">
      <c r="A46" s="7" t="str">
        <f>Materials!A46</f>
        <v>SYS</v>
      </c>
      <c r="B46" s="7" t="str">
        <f>Materials!B46</f>
        <v>CFRP</v>
      </c>
      <c r="C46" s="7" t="str">
        <f>Materials!C46</f>
        <v>Composite</v>
      </c>
      <c r="D46" s="15">
        <f>IFERROR(VLOOKUP(A46,Assemblies!$A$6:$N$11,6,FALSE),0)</f>
        <v>257</v>
      </c>
      <c r="E46" s="20">
        <f>Materials!E46</f>
        <v>0.1</v>
      </c>
      <c r="F46" s="24">
        <f t="shared" si="0"/>
        <v>25.700000000000003</v>
      </c>
      <c r="G46" s="7" t="str">
        <f>Materials!F46</f>
        <v>Assumed</v>
      </c>
      <c r="H46" s="19">
        <f>IFERROR(VLOOKUP(G46,'Data Quality'!$A$6:$D$9,3,FALSE),0)</f>
        <v>0.3</v>
      </c>
      <c r="I46" s="24">
        <f t="shared" si="1"/>
        <v>7.7100000000000009</v>
      </c>
      <c r="J46" s="7" t="str">
        <f>Materials!H46</f>
        <v>N</v>
      </c>
      <c r="K46" s="7" t="str">
        <f t="shared" si="2"/>
        <v>Raw_CFRP</v>
      </c>
      <c r="L46" s="22">
        <f>IFERROR(VLOOKUP($K46,'OpenLCA Factors'!$A$6:$L$200,4,FALSE),0)</f>
        <v>20</v>
      </c>
      <c r="M46" s="22">
        <f>IFERROR(VLOOKUP($K46,'OpenLCA Factors'!$A$6:$L$200,5,FALSE),0)</f>
        <v>15</v>
      </c>
      <c r="N46" s="22">
        <f>IFERROR(VLOOKUP($K46,'OpenLCA Factors'!$A$6:$L$200,6,FALSE),0)</f>
        <v>0.02</v>
      </c>
      <c r="O46" s="22">
        <f>IFERROR(VLOOKUP($K46,'OpenLCA Factors'!$A$6:$L$200,7,FALSE),0)</f>
        <v>0.03</v>
      </c>
      <c r="P46" s="22">
        <f>IFERROR(VLOOKUP($K46,'OpenLCA Factors'!$A$6:$L$200,8,FALSE),0)</f>
        <v>1.1999999999999999E-3</v>
      </c>
      <c r="Q46" s="22">
        <f>IFERROR(VLOOKUP($K46,'OpenLCA Factors'!$A$6:$L$200,9,FALSE),0)</f>
        <v>6</v>
      </c>
      <c r="R46" s="22">
        <f>IFERROR(VLOOKUP($K46,'OpenLCA Factors'!$A$6:$L$200,10,FALSE),0)</f>
        <v>0.1</v>
      </c>
      <c r="S46" s="22">
        <f>IFERROR(VLOOKUP($K46,'OpenLCA Factors'!$A$6:$L$200,11,FALSE),0)</f>
        <v>4</v>
      </c>
      <c r="T46" s="25">
        <f t="shared" si="3"/>
        <v>514</v>
      </c>
      <c r="U46" s="25">
        <f t="shared" si="4"/>
        <v>385.50000000000006</v>
      </c>
      <c r="V46" s="25">
        <f t="shared" si="5"/>
        <v>0.51400000000000001</v>
      </c>
      <c r="W46" s="25">
        <f t="shared" si="6"/>
        <v>0.77100000000000002</v>
      </c>
      <c r="X46" s="25">
        <f t="shared" si="7"/>
        <v>3.0839999999999999E-2</v>
      </c>
      <c r="Y46" s="25">
        <f t="shared" si="8"/>
        <v>154.20000000000002</v>
      </c>
      <c r="Z46" s="25">
        <f t="shared" si="9"/>
        <v>2.5700000000000003</v>
      </c>
      <c r="AA46" s="25">
        <f t="shared" si="10"/>
        <v>102.80000000000001</v>
      </c>
    </row>
    <row r="47" spans="1:27" x14ac:dyDescent="0.75">
      <c r="A47" s="7" t="str">
        <f>Materials!A47</f>
        <v>SYS</v>
      </c>
      <c r="B47" s="7" t="str">
        <f>Materials!B47</f>
        <v>GFRP</v>
      </c>
      <c r="C47" s="7" t="str">
        <f>Materials!C47</f>
        <v>Composite</v>
      </c>
      <c r="D47" s="15">
        <f>IFERROR(VLOOKUP(A47,Assemblies!$A$6:$N$11,6,FALSE),0)</f>
        <v>257</v>
      </c>
      <c r="E47" s="20">
        <f>Materials!E47</f>
        <v>0</v>
      </c>
      <c r="F47" s="24">
        <f t="shared" si="0"/>
        <v>0</v>
      </c>
      <c r="G47" s="7" t="str">
        <f>Materials!F47</f>
        <v>Assumed</v>
      </c>
      <c r="H47" s="19">
        <f>IFERROR(VLOOKUP(G47,'Data Quality'!$A$6:$D$9,3,FALSE),0)</f>
        <v>0.3</v>
      </c>
      <c r="I47" s="24">
        <f t="shared" si="1"/>
        <v>0</v>
      </c>
      <c r="J47" s="7" t="str">
        <f>Materials!H47</f>
        <v>N</v>
      </c>
      <c r="K47" s="7" t="str">
        <f t="shared" si="2"/>
        <v>Raw_GFRP</v>
      </c>
      <c r="L47" s="22">
        <f>IFERROR(VLOOKUP($K47,'OpenLCA Factors'!$A$6:$L$200,4,FALSE),0)</f>
        <v>5</v>
      </c>
      <c r="M47" s="22">
        <f>IFERROR(VLOOKUP($K47,'OpenLCA Factors'!$A$6:$L$200,5,FALSE),0)</f>
        <v>4</v>
      </c>
      <c r="N47" s="22">
        <f>IFERROR(VLOOKUP($K47,'OpenLCA Factors'!$A$6:$L$200,6,FALSE),0)</f>
        <v>6.0000000000000001E-3</v>
      </c>
      <c r="O47" s="22">
        <f>IFERROR(VLOOKUP($K47,'OpenLCA Factors'!$A$6:$L$200,7,FALSE),0)</f>
        <v>8.0000000000000002E-3</v>
      </c>
      <c r="P47" s="22">
        <f>IFERROR(VLOOKUP($K47,'OpenLCA Factors'!$A$6:$L$200,8,FALSE),0)</f>
        <v>4.0000000000000002E-4</v>
      </c>
      <c r="Q47" s="22">
        <f>IFERROR(VLOOKUP($K47,'OpenLCA Factors'!$A$6:$L$200,9,FALSE),0)</f>
        <v>1.2</v>
      </c>
      <c r="R47" s="22">
        <f>IFERROR(VLOOKUP($K47,'OpenLCA Factors'!$A$6:$L$200,10,FALSE),0)</f>
        <v>0.03</v>
      </c>
      <c r="S47" s="22">
        <f>IFERROR(VLOOKUP($K47,'OpenLCA Factors'!$A$6:$L$200,11,FALSE),0)</f>
        <v>0.8</v>
      </c>
      <c r="T47" s="25">
        <f t="shared" si="3"/>
        <v>0</v>
      </c>
      <c r="U47" s="25">
        <f t="shared" si="4"/>
        <v>0</v>
      </c>
      <c r="V47" s="25">
        <f t="shared" si="5"/>
        <v>0</v>
      </c>
      <c r="W47" s="25">
        <f t="shared" si="6"/>
        <v>0</v>
      </c>
      <c r="X47" s="25">
        <f t="shared" si="7"/>
        <v>0</v>
      </c>
      <c r="Y47" s="25">
        <f t="shared" si="8"/>
        <v>0</v>
      </c>
      <c r="Z47" s="25">
        <f t="shared" si="9"/>
        <v>0</v>
      </c>
      <c r="AA47" s="25">
        <f t="shared" si="10"/>
        <v>0</v>
      </c>
    </row>
    <row r="48" spans="1:27" x14ac:dyDescent="0.75">
      <c r="A48" s="7" t="str">
        <f>Materials!A48</f>
        <v>SYS</v>
      </c>
      <c r="B48" s="7" t="str">
        <f>Materials!B48</f>
        <v>Titanium</v>
      </c>
      <c r="C48" s="7" t="str">
        <f>Materials!C48</f>
        <v>Metal</v>
      </c>
      <c r="D48" s="15">
        <f>IFERROR(VLOOKUP(A48,Assemblies!$A$6:$N$11,6,FALSE),0)</f>
        <v>257</v>
      </c>
      <c r="E48" s="20">
        <f>Materials!E48</f>
        <v>0</v>
      </c>
      <c r="F48" s="24">
        <f t="shared" si="0"/>
        <v>0</v>
      </c>
      <c r="G48" s="7" t="str">
        <f>Materials!F48</f>
        <v>Assumed</v>
      </c>
      <c r="H48" s="19">
        <f>IFERROR(VLOOKUP(G48,'Data Quality'!$A$6:$D$9,3,FALSE),0)</f>
        <v>0.3</v>
      </c>
      <c r="I48" s="24">
        <f t="shared" si="1"/>
        <v>0</v>
      </c>
      <c r="J48" s="7" t="str">
        <f>Materials!H48</f>
        <v>N</v>
      </c>
      <c r="K48" s="7" t="str">
        <f t="shared" si="2"/>
        <v>Raw_Titanium</v>
      </c>
      <c r="L48" s="22">
        <f>IFERROR(VLOOKUP($K48,'OpenLCA Factors'!$A$6:$L$200,4,FALSE),0)</f>
        <v>35</v>
      </c>
      <c r="M48" s="22">
        <f>IFERROR(VLOOKUP($K48,'OpenLCA Factors'!$A$6:$L$200,5,FALSE),0)</f>
        <v>12</v>
      </c>
      <c r="N48" s="22">
        <f>IFERROR(VLOOKUP($K48,'OpenLCA Factors'!$A$6:$L$200,6,FALSE),0)</f>
        <v>0.02</v>
      </c>
      <c r="O48" s="22">
        <f>IFERROR(VLOOKUP($K48,'OpenLCA Factors'!$A$6:$L$200,7,FALSE),0)</f>
        <v>2.5000000000000001E-2</v>
      </c>
      <c r="P48" s="22">
        <f>IFERROR(VLOOKUP($K48,'OpenLCA Factors'!$A$6:$L$200,8,FALSE),0)</f>
        <v>8.0000000000000004E-4</v>
      </c>
      <c r="Q48" s="22">
        <f>IFERROR(VLOOKUP($K48,'OpenLCA Factors'!$A$6:$L$200,9,FALSE),0)</f>
        <v>8.5</v>
      </c>
      <c r="R48" s="22">
        <f>IFERROR(VLOOKUP($K48,'OpenLCA Factors'!$A$6:$L$200,10,FALSE),0)</f>
        <v>0.08</v>
      </c>
      <c r="S48" s="22">
        <f>IFERROR(VLOOKUP($K48,'OpenLCA Factors'!$A$6:$L$200,11,FALSE),0)</f>
        <v>5.5</v>
      </c>
      <c r="T48" s="25">
        <f t="shared" si="3"/>
        <v>0</v>
      </c>
      <c r="U48" s="25">
        <f t="shared" si="4"/>
        <v>0</v>
      </c>
      <c r="V48" s="25">
        <f t="shared" si="5"/>
        <v>0</v>
      </c>
      <c r="W48" s="25">
        <f t="shared" si="6"/>
        <v>0</v>
      </c>
      <c r="X48" s="25">
        <f t="shared" si="7"/>
        <v>0</v>
      </c>
      <c r="Y48" s="25">
        <f t="shared" si="8"/>
        <v>0</v>
      </c>
      <c r="Z48" s="25">
        <f t="shared" si="9"/>
        <v>0</v>
      </c>
      <c r="AA48" s="25">
        <f t="shared" si="10"/>
        <v>0</v>
      </c>
    </row>
    <row r="49" spans="1:27" x14ac:dyDescent="0.75">
      <c r="A49" s="7" t="str">
        <f>Materials!A49</f>
        <v>SYS</v>
      </c>
      <c r="B49" s="7" t="str">
        <f>Materials!B49</f>
        <v>NickelSuperalloy</v>
      </c>
      <c r="C49" s="7" t="str">
        <f>Materials!C49</f>
        <v>Metal</v>
      </c>
      <c r="D49" s="15">
        <f>IFERROR(VLOOKUP(A49,Assemblies!$A$6:$N$11,6,FALSE),0)</f>
        <v>257</v>
      </c>
      <c r="E49" s="20">
        <f>Materials!E49</f>
        <v>0</v>
      </c>
      <c r="F49" s="24">
        <f t="shared" si="0"/>
        <v>0</v>
      </c>
      <c r="G49" s="7" t="str">
        <f>Materials!F49</f>
        <v>Assumed</v>
      </c>
      <c r="H49" s="19">
        <f>IFERROR(VLOOKUP(G49,'Data Quality'!$A$6:$D$9,3,FALSE),0)</f>
        <v>0.3</v>
      </c>
      <c r="I49" s="24">
        <f t="shared" si="1"/>
        <v>0</v>
      </c>
      <c r="J49" s="7" t="str">
        <f>Materials!H49</f>
        <v>N</v>
      </c>
      <c r="K49" s="7" t="str">
        <f t="shared" si="2"/>
        <v>Raw_NickelSuperalloy</v>
      </c>
      <c r="L49" s="22">
        <f>IFERROR(VLOOKUP($K49,'OpenLCA Factors'!$A$6:$L$200,4,FALSE),0)</f>
        <v>28</v>
      </c>
      <c r="M49" s="22">
        <f>IFERROR(VLOOKUP($K49,'OpenLCA Factors'!$A$6:$L$200,5,FALSE),0)</f>
        <v>10</v>
      </c>
      <c r="N49" s="22">
        <f>IFERROR(VLOOKUP($K49,'OpenLCA Factors'!$A$6:$L$200,6,FALSE),0)</f>
        <v>1.7999999999999999E-2</v>
      </c>
      <c r="O49" s="22">
        <f>IFERROR(VLOOKUP($K49,'OpenLCA Factors'!$A$6:$L$200,7,FALSE),0)</f>
        <v>0.02</v>
      </c>
      <c r="P49" s="22">
        <f>IFERROR(VLOOKUP($K49,'OpenLCA Factors'!$A$6:$L$200,8,FALSE),0)</f>
        <v>6.9999999999999999E-4</v>
      </c>
      <c r="Q49" s="22">
        <f>IFERROR(VLOOKUP($K49,'OpenLCA Factors'!$A$6:$L$200,9,FALSE),0)</f>
        <v>12</v>
      </c>
      <c r="R49" s="22">
        <f>IFERROR(VLOOKUP($K49,'OpenLCA Factors'!$A$6:$L$200,10,FALSE),0)</f>
        <v>0.06</v>
      </c>
      <c r="S49" s="22">
        <f>IFERROR(VLOOKUP($K49,'OpenLCA Factors'!$A$6:$L$200,11,FALSE),0)</f>
        <v>6.2</v>
      </c>
      <c r="T49" s="25">
        <f t="shared" si="3"/>
        <v>0</v>
      </c>
      <c r="U49" s="25">
        <f t="shared" si="4"/>
        <v>0</v>
      </c>
      <c r="V49" s="25">
        <f t="shared" si="5"/>
        <v>0</v>
      </c>
      <c r="W49" s="25">
        <f t="shared" si="6"/>
        <v>0</v>
      </c>
      <c r="X49" s="25">
        <f t="shared" si="7"/>
        <v>0</v>
      </c>
      <c r="Y49" s="25">
        <f t="shared" si="8"/>
        <v>0</v>
      </c>
      <c r="Z49" s="25">
        <f t="shared" si="9"/>
        <v>0</v>
      </c>
      <c r="AA49" s="25">
        <f t="shared" si="10"/>
        <v>0</v>
      </c>
    </row>
    <row r="50" spans="1:27" x14ac:dyDescent="0.75">
      <c r="A50" s="7" t="str">
        <f>Materials!A50</f>
        <v>SYS</v>
      </c>
      <c r="B50" s="7" t="str">
        <f>Materials!B50</f>
        <v>Steel</v>
      </c>
      <c r="C50" s="7" t="str">
        <f>Materials!C50</f>
        <v>Metal</v>
      </c>
      <c r="D50" s="15">
        <f>IFERROR(VLOOKUP(A50,Assemblies!$A$6:$N$11,6,FALSE),0)</f>
        <v>257</v>
      </c>
      <c r="E50" s="20">
        <f>Materials!E50</f>
        <v>0.2</v>
      </c>
      <c r="F50" s="24">
        <f t="shared" si="0"/>
        <v>51.400000000000006</v>
      </c>
      <c r="G50" s="7" t="str">
        <f>Materials!F50</f>
        <v>Assumed</v>
      </c>
      <c r="H50" s="19">
        <f>IFERROR(VLOOKUP(G50,'Data Quality'!$A$6:$D$9,3,FALSE),0)</f>
        <v>0.3</v>
      </c>
      <c r="I50" s="24">
        <f t="shared" si="1"/>
        <v>15.420000000000002</v>
      </c>
      <c r="J50" s="7" t="str">
        <f>Materials!H50</f>
        <v>N</v>
      </c>
      <c r="K50" s="7" t="str">
        <f t="shared" si="2"/>
        <v>Raw_Steel</v>
      </c>
      <c r="L50" s="22">
        <f>IFERROR(VLOOKUP($K50,'OpenLCA Factors'!$A$6:$L$200,4,FALSE),0)</f>
        <v>2.5</v>
      </c>
      <c r="M50" s="22">
        <f>IFERROR(VLOOKUP($K50,'OpenLCA Factors'!$A$6:$L$200,5,FALSE),0)</f>
        <v>2</v>
      </c>
      <c r="N50" s="22">
        <f>IFERROR(VLOOKUP($K50,'OpenLCA Factors'!$A$6:$L$200,6,FALSE),0)</f>
        <v>3.0000000000000001E-3</v>
      </c>
      <c r="O50" s="22">
        <f>IFERROR(VLOOKUP($K50,'OpenLCA Factors'!$A$6:$L$200,7,FALSE),0)</f>
        <v>4.0000000000000001E-3</v>
      </c>
      <c r="P50" s="22">
        <f>IFERROR(VLOOKUP($K50,'OpenLCA Factors'!$A$6:$L$200,8,FALSE),0)</f>
        <v>2.0000000000000001E-4</v>
      </c>
      <c r="Q50" s="22">
        <f>IFERROR(VLOOKUP($K50,'OpenLCA Factors'!$A$6:$L$200,9,FALSE),0)</f>
        <v>0.9</v>
      </c>
      <c r="R50" s="22">
        <f>IFERROR(VLOOKUP($K50,'OpenLCA Factors'!$A$6:$L$200,10,FALSE),0)</f>
        <v>0.02</v>
      </c>
      <c r="S50" s="22">
        <f>IFERROR(VLOOKUP($K50,'OpenLCA Factors'!$A$6:$L$200,11,FALSE),0)</f>
        <v>0.5</v>
      </c>
      <c r="T50" s="25">
        <f t="shared" si="3"/>
        <v>128.5</v>
      </c>
      <c r="U50" s="25">
        <f t="shared" si="4"/>
        <v>102.80000000000001</v>
      </c>
      <c r="V50" s="25">
        <f t="shared" si="5"/>
        <v>0.15420000000000003</v>
      </c>
      <c r="W50" s="25">
        <f t="shared" si="6"/>
        <v>0.20560000000000003</v>
      </c>
      <c r="X50" s="25">
        <f t="shared" si="7"/>
        <v>1.0280000000000001E-2</v>
      </c>
      <c r="Y50" s="25">
        <f t="shared" si="8"/>
        <v>46.260000000000005</v>
      </c>
      <c r="Z50" s="25">
        <f t="shared" si="9"/>
        <v>1.028</v>
      </c>
      <c r="AA50" s="25">
        <f t="shared" si="10"/>
        <v>25.700000000000003</v>
      </c>
    </row>
    <row r="51" spans="1:27" x14ac:dyDescent="0.75">
      <c r="A51" s="7" t="str">
        <f>Materials!A51</f>
        <v>SYS</v>
      </c>
      <c r="B51" s="7" t="str">
        <f>Materials!B51</f>
        <v>Aluminium</v>
      </c>
      <c r="C51" s="7" t="str">
        <f>Materials!C51</f>
        <v>Metal</v>
      </c>
      <c r="D51" s="15">
        <f>IFERROR(VLOOKUP(A51,Assemblies!$A$6:$N$11,6,FALSE),0)</f>
        <v>257</v>
      </c>
      <c r="E51" s="20">
        <f>Materials!E51</f>
        <v>0.1</v>
      </c>
      <c r="F51" s="24">
        <f t="shared" si="0"/>
        <v>25.700000000000003</v>
      </c>
      <c r="G51" s="7" t="str">
        <f>Materials!F51</f>
        <v>Assumed</v>
      </c>
      <c r="H51" s="19">
        <f>IFERROR(VLOOKUP(G51,'Data Quality'!$A$6:$D$9,3,FALSE),0)</f>
        <v>0.3</v>
      </c>
      <c r="I51" s="24">
        <f t="shared" si="1"/>
        <v>7.7100000000000009</v>
      </c>
      <c r="J51" s="7" t="str">
        <f>Materials!H51</f>
        <v>N</v>
      </c>
      <c r="K51" s="7" t="str">
        <f t="shared" si="2"/>
        <v>Raw_Aluminium</v>
      </c>
      <c r="L51" s="22">
        <f>IFERROR(VLOOKUP($K51,'OpenLCA Factors'!$A$6:$L$200,4,FALSE),0)</f>
        <v>10</v>
      </c>
      <c r="M51" s="22">
        <f>IFERROR(VLOOKUP($K51,'OpenLCA Factors'!$A$6:$L$200,5,FALSE),0)</f>
        <v>7</v>
      </c>
      <c r="N51" s="22">
        <f>IFERROR(VLOOKUP($K51,'OpenLCA Factors'!$A$6:$L$200,6,FALSE),0)</f>
        <v>0.01</v>
      </c>
      <c r="O51" s="22">
        <f>IFERROR(VLOOKUP($K51,'OpenLCA Factors'!$A$6:$L$200,7,FALSE),0)</f>
        <v>1.2E-2</v>
      </c>
      <c r="P51" s="22">
        <f>IFERROR(VLOOKUP($K51,'OpenLCA Factors'!$A$6:$L$200,8,FALSE),0)</f>
        <v>5.0000000000000001E-4</v>
      </c>
      <c r="Q51" s="22">
        <f>IFERROR(VLOOKUP($K51,'OpenLCA Factors'!$A$6:$L$200,9,FALSE),0)</f>
        <v>2.5</v>
      </c>
      <c r="R51" s="22">
        <f>IFERROR(VLOOKUP($K51,'OpenLCA Factors'!$A$6:$L$200,10,FALSE),0)</f>
        <v>0.04</v>
      </c>
      <c r="S51" s="22">
        <f>IFERROR(VLOOKUP($K51,'OpenLCA Factors'!$A$6:$L$200,11,FALSE),0)</f>
        <v>1.6</v>
      </c>
      <c r="T51" s="25">
        <f t="shared" si="3"/>
        <v>257</v>
      </c>
      <c r="U51" s="25">
        <f t="shared" si="4"/>
        <v>179.90000000000003</v>
      </c>
      <c r="V51" s="25">
        <f t="shared" si="5"/>
        <v>0.25700000000000001</v>
      </c>
      <c r="W51" s="25">
        <f t="shared" si="6"/>
        <v>0.30840000000000006</v>
      </c>
      <c r="X51" s="25">
        <f t="shared" si="7"/>
        <v>1.2850000000000002E-2</v>
      </c>
      <c r="Y51" s="25">
        <f t="shared" si="8"/>
        <v>64.25</v>
      </c>
      <c r="Z51" s="25">
        <f t="shared" si="9"/>
        <v>1.028</v>
      </c>
      <c r="AA51" s="25">
        <f t="shared" si="10"/>
        <v>41.120000000000005</v>
      </c>
    </row>
    <row r="52" spans="1:27" x14ac:dyDescent="0.75">
      <c r="A52" s="7" t="str">
        <f>Materials!A52</f>
        <v>SYS</v>
      </c>
      <c r="B52" s="7" t="str">
        <f>Materials!B52</f>
        <v>Electronics</v>
      </c>
      <c r="C52" s="7" t="str">
        <f>Materials!C52</f>
        <v>Electronics</v>
      </c>
      <c r="D52" s="15">
        <f>IFERROR(VLOOKUP(A52,Assemblies!$A$6:$N$11,6,FALSE),0)</f>
        <v>257</v>
      </c>
      <c r="E52" s="20">
        <f>Materials!E52</f>
        <v>0.5</v>
      </c>
      <c r="F52" s="24">
        <f t="shared" si="0"/>
        <v>128.5</v>
      </c>
      <c r="G52" s="7" t="str">
        <f>Materials!F52</f>
        <v>Assumed</v>
      </c>
      <c r="H52" s="19">
        <f>IFERROR(VLOOKUP(G52,'Data Quality'!$A$6:$D$9,3,FALSE),0)</f>
        <v>0.3</v>
      </c>
      <c r="I52" s="24">
        <f t="shared" si="1"/>
        <v>38.549999999999997</v>
      </c>
      <c r="J52" s="7" t="str">
        <f>Materials!H52</f>
        <v>N</v>
      </c>
      <c r="K52" s="7" t="str">
        <f t="shared" si="2"/>
        <v>Raw_Electronics</v>
      </c>
      <c r="L52" s="22">
        <f>IFERROR(VLOOKUP($K52,'OpenLCA Factors'!$A$6:$L$200,4,FALSE),0)</f>
        <v>30</v>
      </c>
      <c r="M52" s="22">
        <f>IFERROR(VLOOKUP($K52,'OpenLCA Factors'!$A$6:$L$200,5,FALSE),0)</f>
        <v>18</v>
      </c>
      <c r="N52" s="22">
        <f>IFERROR(VLOOKUP($K52,'OpenLCA Factors'!$A$6:$L$200,6,FALSE),0)</f>
        <v>2.5000000000000001E-2</v>
      </c>
      <c r="O52" s="22">
        <f>IFERROR(VLOOKUP($K52,'OpenLCA Factors'!$A$6:$L$200,7,FALSE),0)</f>
        <v>1.7999999999999999E-2</v>
      </c>
      <c r="P52" s="22">
        <f>IFERROR(VLOOKUP($K52,'OpenLCA Factors'!$A$6:$L$200,8,FALSE),0)</f>
        <v>8.9999999999999998E-4</v>
      </c>
      <c r="Q52" s="22">
        <f>IFERROR(VLOOKUP($K52,'OpenLCA Factors'!$A$6:$L$200,9,FALSE),0)</f>
        <v>25</v>
      </c>
      <c r="R52" s="22">
        <f>IFERROR(VLOOKUP($K52,'OpenLCA Factors'!$A$6:$L$200,10,FALSE),0)</f>
        <v>0.05</v>
      </c>
      <c r="S52" s="22">
        <f>IFERROR(VLOOKUP($K52,'OpenLCA Factors'!$A$6:$L$200,11,FALSE),0)</f>
        <v>10</v>
      </c>
      <c r="T52" s="25">
        <f t="shared" si="3"/>
        <v>3855</v>
      </c>
      <c r="U52" s="25">
        <f t="shared" si="4"/>
        <v>2313</v>
      </c>
      <c r="V52" s="25">
        <f t="shared" si="5"/>
        <v>3.2125000000000004</v>
      </c>
      <c r="W52" s="25">
        <f t="shared" si="6"/>
        <v>2.3129999999999997</v>
      </c>
      <c r="X52" s="25">
        <f t="shared" si="7"/>
        <v>0.11565</v>
      </c>
      <c r="Y52" s="25">
        <f t="shared" si="8"/>
        <v>3212.5</v>
      </c>
      <c r="Z52" s="25">
        <f t="shared" si="9"/>
        <v>6.4250000000000007</v>
      </c>
      <c r="AA52" s="25">
        <f t="shared" si="10"/>
        <v>1285</v>
      </c>
    </row>
    <row r="53" spans="1:27" x14ac:dyDescent="0.75">
      <c r="A53" s="7" t="str">
        <f>Materials!A53</f>
        <v>SYS</v>
      </c>
      <c r="B53" s="7" t="str">
        <f>Materials!B53</f>
        <v>Other</v>
      </c>
      <c r="C53" s="7" t="str">
        <f>Materials!C53</f>
        <v>Other</v>
      </c>
      <c r="D53" s="15">
        <f>IFERROR(VLOOKUP(A53,Assemblies!$A$6:$N$11,6,FALSE),0)</f>
        <v>257</v>
      </c>
      <c r="E53" s="20">
        <f>Materials!E53</f>
        <v>0.1</v>
      </c>
      <c r="F53" s="24">
        <f t="shared" si="0"/>
        <v>25.700000000000003</v>
      </c>
      <c r="G53" s="7" t="str">
        <f>Materials!F53</f>
        <v>Assumed</v>
      </c>
      <c r="H53" s="19">
        <f>IFERROR(VLOOKUP(G53,'Data Quality'!$A$6:$D$9,3,FALSE),0)</f>
        <v>0.3</v>
      </c>
      <c r="I53" s="24">
        <f t="shared" si="1"/>
        <v>7.7100000000000009</v>
      </c>
      <c r="J53" s="7" t="str">
        <f>Materials!H53</f>
        <v>N</v>
      </c>
      <c r="K53" s="7" t="str">
        <f t="shared" si="2"/>
        <v>Raw_Other</v>
      </c>
      <c r="L53" s="22">
        <f>IFERROR(VLOOKUP($K53,'OpenLCA Factors'!$A$6:$L$200,4,FALSE),0)</f>
        <v>4</v>
      </c>
      <c r="M53" s="22">
        <f>IFERROR(VLOOKUP($K53,'OpenLCA Factors'!$A$6:$L$200,5,FALSE),0)</f>
        <v>3</v>
      </c>
      <c r="N53" s="22">
        <f>IFERROR(VLOOKUP($K53,'OpenLCA Factors'!$A$6:$L$200,6,FALSE),0)</f>
        <v>4.0000000000000001E-3</v>
      </c>
      <c r="O53" s="22">
        <f>IFERROR(VLOOKUP($K53,'OpenLCA Factors'!$A$6:$L$200,7,FALSE),0)</f>
        <v>5.0000000000000001E-3</v>
      </c>
      <c r="P53" s="22">
        <f>IFERROR(VLOOKUP($K53,'OpenLCA Factors'!$A$6:$L$200,8,FALSE),0)</f>
        <v>2.0000000000000001E-4</v>
      </c>
      <c r="Q53" s="22">
        <f>IFERROR(VLOOKUP($K53,'OpenLCA Factors'!$A$6:$L$200,9,FALSE),0)</f>
        <v>1</v>
      </c>
      <c r="R53" s="22">
        <f>IFERROR(VLOOKUP($K53,'OpenLCA Factors'!$A$6:$L$200,10,FALSE),0)</f>
        <v>0.02</v>
      </c>
      <c r="S53" s="22">
        <f>IFERROR(VLOOKUP($K53,'OpenLCA Factors'!$A$6:$L$200,11,FALSE),0)</f>
        <v>0.7</v>
      </c>
      <c r="T53" s="25">
        <f t="shared" si="3"/>
        <v>102.80000000000001</v>
      </c>
      <c r="U53" s="25">
        <f t="shared" si="4"/>
        <v>77.100000000000009</v>
      </c>
      <c r="V53" s="25">
        <f t="shared" si="5"/>
        <v>0.10280000000000002</v>
      </c>
      <c r="W53" s="25">
        <f t="shared" si="6"/>
        <v>0.1285</v>
      </c>
      <c r="X53" s="25">
        <f t="shared" si="7"/>
        <v>5.1400000000000005E-3</v>
      </c>
      <c r="Y53" s="25">
        <f t="shared" si="8"/>
        <v>25.700000000000003</v>
      </c>
      <c r="Z53" s="25">
        <f t="shared" si="9"/>
        <v>0.51400000000000001</v>
      </c>
      <c r="AA53" s="25">
        <f t="shared" si="10"/>
        <v>17.990000000000002</v>
      </c>
    </row>
    <row r="56" spans="1:27" x14ac:dyDescent="0.75">
      <c r="A56" s="2" t="s">
        <v>241</v>
      </c>
      <c r="T56" s="11" t="s">
        <v>140</v>
      </c>
      <c r="U56" s="11" t="s">
        <v>141</v>
      </c>
      <c r="V56" s="11" t="s">
        <v>142</v>
      </c>
      <c r="W56" s="11" t="s">
        <v>143</v>
      </c>
      <c r="X56" s="11" t="s">
        <v>144</v>
      </c>
      <c r="Y56" s="11" t="s">
        <v>145</v>
      </c>
      <c r="Z56" s="11" t="s">
        <v>146</v>
      </c>
      <c r="AA56" s="11" t="s">
        <v>147</v>
      </c>
    </row>
    <row r="57" spans="1:27" x14ac:dyDescent="0.75">
      <c r="T57" s="25">
        <f t="shared" ref="T57:AA57" si="11">SUM(T6:T53)</f>
        <v>225505.69999999998</v>
      </c>
      <c r="U57" s="25">
        <f t="shared" si="11"/>
        <v>136592.19999999998</v>
      </c>
      <c r="V57" s="25">
        <f t="shared" si="11"/>
        <v>193.29849999999999</v>
      </c>
      <c r="W57" s="25">
        <f t="shared" si="11"/>
        <v>271.4418</v>
      </c>
      <c r="X57" s="25">
        <f t="shared" si="11"/>
        <v>10.568549999999998</v>
      </c>
      <c r="Y57" s="25">
        <f t="shared" si="11"/>
        <v>69067.689999999988</v>
      </c>
      <c r="Z57" s="25">
        <f t="shared" si="11"/>
        <v>899.73500000000013</v>
      </c>
      <c r="AA57" s="25">
        <f t="shared" si="11"/>
        <v>43358.06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13"/>
  <sheetViews>
    <sheetView showGridLines="0" workbookViewId="0">
      <selection activeCell="F16" sqref="F16"/>
    </sheetView>
  </sheetViews>
  <sheetFormatPr defaultRowHeight="14.75" x14ac:dyDescent="0.75"/>
  <cols>
    <col min="1" max="1" width="12" customWidth="1"/>
    <col min="2" max="2" width="18" customWidth="1"/>
    <col min="3" max="5" width="14" customWidth="1"/>
    <col min="6" max="6" width="16" customWidth="1"/>
    <col min="7" max="7" width="12" customWidth="1"/>
    <col min="8" max="10" width="18" customWidth="1"/>
    <col min="11" max="11" width="12" customWidth="1"/>
    <col min="12" max="12" width="10" customWidth="1"/>
    <col min="13" max="13" width="14" customWidth="1"/>
    <col min="14" max="48" width="11" customWidth="1"/>
  </cols>
  <sheetData>
    <row r="1" spans="1:48" ht="18.5" x14ac:dyDescent="0.9">
      <c r="A1" s="1" t="s">
        <v>242</v>
      </c>
    </row>
    <row r="5" spans="1:48" ht="44.25" x14ac:dyDescent="0.75">
      <c r="A5" s="11" t="s">
        <v>291</v>
      </c>
      <c r="B5" s="11" t="s">
        <v>316</v>
      </c>
      <c r="C5" s="11" t="s">
        <v>293</v>
      </c>
      <c r="D5" s="11" t="s">
        <v>317</v>
      </c>
      <c r="E5" s="11" t="s">
        <v>318</v>
      </c>
      <c r="F5" s="11" t="s">
        <v>319</v>
      </c>
      <c r="G5" s="11" t="s">
        <v>320</v>
      </c>
      <c r="H5" s="11" t="s">
        <v>321</v>
      </c>
      <c r="I5" s="11" t="s">
        <v>322</v>
      </c>
      <c r="J5" s="11" t="s">
        <v>323</v>
      </c>
      <c r="K5" s="11" t="s">
        <v>324</v>
      </c>
      <c r="L5" s="11" t="s">
        <v>325</v>
      </c>
      <c r="M5" s="11" t="s">
        <v>326</v>
      </c>
      <c r="N5" s="11" t="s">
        <v>327</v>
      </c>
      <c r="O5" s="11" t="s">
        <v>328</v>
      </c>
      <c r="P5" s="11" t="s">
        <v>329</v>
      </c>
      <c r="Q5" s="11" t="s">
        <v>330</v>
      </c>
      <c r="R5" s="11" t="s">
        <v>331</v>
      </c>
      <c r="S5" s="11" t="s">
        <v>332</v>
      </c>
      <c r="T5" s="11" t="s">
        <v>333</v>
      </c>
      <c r="U5" s="11" t="s">
        <v>334</v>
      </c>
      <c r="V5" s="11" t="s">
        <v>335</v>
      </c>
      <c r="W5" s="11" t="s">
        <v>336</v>
      </c>
      <c r="X5" s="11" t="s">
        <v>337</v>
      </c>
      <c r="Y5" s="11" t="s">
        <v>338</v>
      </c>
      <c r="Z5" s="11" t="s">
        <v>339</v>
      </c>
      <c r="AA5" s="11" t="s">
        <v>340</v>
      </c>
      <c r="AB5" s="11" t="s">
        <v>341</v>
      </c>
      <c r="AC5" s="11" t="s">
        <v>342</v>
      </c>
      <c r="AD5" s="11" t="s">
        <v>343</v>
      </c>
      <c r="AE5" s="11" t="s">
        <v>344</v>
      </c>
      <c r="AF5" s="11" t="s">
        <v>345</v>
      </c>
      <c r="AG5" s="11" t="s">
        <v>346</v>
      </c>
      <c r="AH5" s="11" t="s">
        <v>347</v>
      </c>
      <c r="AI5" s="11" t="s">
        <v>348</v>
      </c>
      <c r="AJ5" s="11" t="s">
        <v>349</v>
      </c>
      <c r="AK5" s="11" t="s">
        <v>350</v>
      </c>
      <c r="AL5" s="11" t="s">
        <v>351</v>
      </c>
      <c r="AM5" s="11" t="s">
        <v>352</v>
      </c>
      <c r="AN5" s="11" t="s">
        <v>353</v>
      </c>
      <c r="AO5" s="11" t="s">
        <v>354</v>
      </c>
      <c r="AP5" s="11" t="s">
        <v>355</v>
      </c>
      <c r="AQ5" s="11" t="s">
        <v>356</v>
      </c>
      <c r="AR5" s="11" t="s">
        <v>357</v>
      </c>
      <c r="AS5" s="11" t="s">
        <v>358</v>
      </c>
      <c r="AT5" s="11" t="s">
        <v>359</v>
      </c>
      <c r="AU5" s="11" t="s">
        <v>360</v>
      </c>
      <c r="AV5" s="11" t="s">
        <v>361</v>
      </c>
    </row>
    <row r="6" spans="1:48" x14ac:dyDescent="0.75">
      <c r="A6" s="7" t="str">
        <f>Assemblies!A6</f>
        <v>FUS</v>
      </c>
      <c r="B6" s="7" t="str">
        <f>Assemblies!B6</f>
        <v>Fuselage</v>
      </c>
      <c r="C6" s="24">
        <f>Assemblies!F6</f>
        <v>2871</v>
      </c>
      <c r="D6" s="15">
        <f>SUMIFS('Calc Materials'!$F$6:$F$53,'Calc Materials'!$A$6:$A$53,$A6,'Calc Materials'!$C$6:$C$53,"Composite")</f>
        <v>2673</v>
      </c>
      <c r="E6" s="15">
        <f>SUMIFS('Calc Materials'!$F$6:$F$53,'Calc Materials'!$A$6:$A$53,$A6,'Calc Materials'!$C$6:$C$53,"Metal")</f>
        <v>161.00000000000003</v>
      </c>
      <c r="F6" s="15">
        <f>SUMIFS('Calc Materials'!$F$6:$F$53,'Calc Materials'!$A$6:$A$53,$A6,'Calc Materials'!$C$6:$C$53,"Electronics")</f>
        <v>0</v>
      </c>
      <c r="G6" s="15">
        <f>SUMIFS('Calc Materials'!$F$6:$F$53,'Calc Materials'!$A$6:$A$53,$A6,'Calc Materials'!$C$6:$C$53,"Other")</f>
        <v>37.000000000000014</v>
      </c>
      <c r="H6" s="24">
        <f t="shared" ref="H6:H11" si="0">D6*104.4</f>
        <v>279061.2</v>
      </c>
      <c r="I6" s="15">
        <f>E6*IF(IFERROR(VLOOKUP($A6,Assemblies!$A$6:$N$11,7,FALSE),"")="Propulsion",28,24)</f>
        <v>3864.0000000000009</v>
      </c>
      <c r="J6" s="24">
        <f t="shared" ref="J6:J11" si="1">H6+I6</f>
        <v>282925.2</v>
      </c>
      <c r="K6" s="15">
        <f>C6/1000*(IFERROR(VLOOKUP($A6,Assemblies!$A$6:$N$11,10,FALSE),0)+IFERROR(VLOOKUP($A6,Assemblies!$A$6:$N$11,12,FALSE),0))</f>
        <v>287.10000000000002</v>
      </c>
      <c r="L6" s="15">
        <f>C6/1000*IFERROR(VLOOKUP($A6,Assemblies!$A$6:$N$11,11,FALSE),0)</f>
        <v>0</v>
      </c>
      <c r="M6" s="19">
        <f>IF(C6=0,0,SUMIF('Calc Materials'!$A$6:$A$53,$A6,'Calc Materials'!$I$6:$I$53)/C6)</f>
        <v>1.8321142459073493E-2</v>
      </c>
      <c r="N6" s="26">
        <f>SUMIF('Calc Materials'!$A$6:$A$53,$A6,'Calc Materials'!$T$6:$T$53)</f>
        <v>52310.5</v>
      </c>
      <c r="O6" s="26">
        <f>SUMIF('Calc Materials'!$A$6:$A$53,$A6,'Calc Materials'!$U$6:$U$53)</f>
        <v>38127.5</v>
      </c>
      <c r="P6" s="26">
        <f>SUMIF('Calc Materials'!$A$6:$A$53,$A6,'Calc Materials'!$V$6:$V$53)</f>
        <v>51.430999999999997</v>
      </c>
      <c r="Q6" s="26">
        <f>SUMIF('Calc Materials'!$A$6:$A$53,$A6,'Calc Materials'!$W$6:$W$53)</f>
        <v>76.137499999999989</v>
      </c>
      <c r="R6" s="26">
        <f>SUMIF('Calc Materials'!$A$6:$A$53,$A6,'Calc Materials'!$X$6:$X$53)</f>
        <v>3.0572499999999994</v>
      </c>
      <c r="S6" s="26">
        <f>SUMIF('Calc Materials'!$A$6:$A$53,$A6,'Calc Materials'!$Y$6:$Y$53)</f>
        <v>15386.1</v>
      </c>
      <c r="T6" s="26">
        <f>SUMIF('Calc Materials'!$A$6:$A$53,$A6,'Calc Materials'!$Z$6:$Z$53)</f>
        <v>254.74</v>
      </c>
      <c r="U6" s="26">
        <f>SUMIF('Calc Materials'!$A$6:$A$53,$A6,'Calc Materials'!$AA$6:$AA$53)</f>
        <v>10239.849999999999</v>
      </c>
      <c r="V6" s="26">
        <f>J6*IFERROR(VLOOKUP("Energy Electricity",'OpenLCA Factors'!$A$6:$L$200,4,FALSE),0)</f>
        <v>0</v>
      </c>
      <c r="W6" s="26">
        <f>J6*IFERROR(VLOOKUP("Energy Electricity",'OpenLCA Factors'!$A$6:$L$200,5,FALSE),0)</f>
        <v>0</v>
      </c>
      <c r="X6" s="26">
        <f>J6*IFERROR(VLOOKUP("Energy Electricity",'OpenLCA Factors'!$A$6:$L$200,6,FALSE),0)</f>
        <v>0</v>
      </c>
      <c r="Y6" s="26">
        <f>J6*IFERROR(VLOOKUP("Energy Electricity",'OpenLCA Factors'!$A$6:$L$200,7,FALSE),0)</f>
        <v>0</v>
      </c>
      <c r="Z6" s="26">
        <f>J6*IFERROR(VLOOKUP("Energy Electricity",'OpenLCA Factors'!$A$6:$L$200,8,FALSE),0)</f>
        <v>0</v>
      </c>
      <c r="AA6" s="26">
        <f>J6*IFERROR(VLOOKUP("Energy Electricity",'OpenLCA Factors'!$A$6:$L$200,9,FALSE),0)</f>
        <v>0</v>
      </c>
      <c r="AB6" s="26">
        <f>J6*IFERROR(VLOOKUP("Energy Electricity",'OpenLCA Factors'!$A$6:$L$200,10,FALSE),0)</f>
        <v>0</v>
      </c>
      <c r="AC6" s="26">
        <f>J6*IFERROR(VLOOKUP("Energy Electricity",'OpenLCA Factors'!$A$6:$L$200,11,FALSE),0)</f>
        <v>0</v>
      </c>
      <c r="AD6" s="26">
        <f>K6*IFERROR(VLOOKUP("Freight Road",'OpenLCA Factors'!$A$6:$L$200,4,FALSE),0)+L6*IFERROR(VLOOKUP("Freight Sea",'OpenLCA Factors'!$A$6:$L$200,4,FALSE),0)</f>
        <v>0</v>
      </c>
      <c r="AE6" s="26">
        <f>K6*IFERROR(VLOOKUP("Freight Road",'OpenLCA Factors'!$A$6:$L$200,5,FALSE),0)+L6*IFERROR(VLOOKUP("Freight Sea",'OpenLCA Factors'!$A$6:$L$200,5,FALSE),0)</f>
        <v>0</v>
      </c>
      <c r="AF6" s="26">
        <f>K6*IFERROR(VLOOKUP("Freight Road",'OpenLCA Factors'!$A$6:$L$200,6,FALSE),0)+L6*IFERROR(VLOOKUP("Freight Sea",'OpenLCA Factors'!$A$6:$L$200,6,FALSE),0)</f>
        <v>0</v>
      </c>
      <c r="AG6" s="26">
        <f>K6*IFERROR(VLOOKUP("Freight Road",'OpenLCA Factors'!$A$6:$L$200,7,FALSE),0)+L6*IFERROR(VLOOKUP("Freight Sea",'OpenLCA Factors'!$A$6:$L$200,7,FALSE),0)</f>
        <v>0</v>
      </c>
      <c r="AH6" s="26">
        <f>K6*IFERROR(VLOOKUP("Freight Road",'OpenLCA Factors'!$A$6:$L$200,8,FALSE),0)+L6*IFERROR(VLOOKUP("Freight Sea",'OpenLCA Factors'!$A$6:$L$200,8,FALSE),0)</f>
        <v>0</v>
      </c>
      <c r="AI6" s="26">
        <f>K6*IFERROR(VLOOKUP("Freight Road",'OpenLCA Factors'!$A$6:$L$200,9,FALSE),0)+L6*IFERROR(VLOOKUP("Freight Sea",'OpenLCA Factors'!$A$6:$L$200,9,FALSE),0)</f>
        <v>0</v>
      </c>
      <c r="AJ6" s="26">
        <f>K6*IFERROR(VLOOKUP("Freight Road",'OpenLCA Factors'!$A$6:$L$200,10,FALSE),0)+L6*IFERROR(VLOOKUP("Freight Sea",'OpenLCA Factors'!$A$6:$L$200,10,FALSE),0)</f>
        <v>0</v>
      </c>
      <c r="AK6" s="26">
        <f>K6*IFERROR(VLOOKUP("Freight Road",'OpenLCA Factors'!$A$6:$L$200,11,FALSE),0)+L6*IFERROR(VLOOKUP("Freight Sea",'OpenLCA Factors'!$A$6:$L$200,11,FALSE),0)</f>
        <v>0</v>
      </c>
      <c r="AL6" s="25">
        <f t="shared" ref="AL6:AS11" si="2">N6+V6+AD6</f>
        <v>52310.5</v>
      </c>
      <c r="AM6" s="25">
        <f t="shared" si="2"/>
        <v>38127.5</v>
      </c>
      <c r="AN6" s="25">
        <f t="shared" si="2"/>
        <v>51.430999999999997</v>
      </c>
      <c r="AO6" s="25">
        <f t="shared" si="2"/>
        <v>76.137499999999989</v>
      </c>
      <c r="AP6" s="25">
        <f t="shared" si="2"/>
        <v>3.0572499999999994</v>
      </c>
      <c r="AQ6" s="25">
        <f t="shared" si="2"/>
        <v>15386.1</v>
      </c>
      <c r="AR6" s="25">
        <f t="shared" si="2"/>
        <v>254.74</v>
      </c>
      <c r="AS6" s="25">
        <f t="shared" si="2"/>
        <v>10239.849999999999</v>
      </c>
      <c r="AT6" s="25">
        <f t="shared" ref="AT6:AT11" si="3">AL6*(1-M6)</f>
        <v>51352.111877394636</v>
      </c>
      <c r="AU6" s="25">
        <f t="shared" ref="AU6:AU11" si="4">AL6</f>
        <v>52310.5</v>
      </c>
      <c r="AV6" s="25">
        <f t="shared" ref="AV6:AV11" si="5">AL6*(1+M6)</f>
        <v>53268.888122605364</v>
      </c>
    </row>
    <row r="7" spans="1:48" x14ac:dyDescent="0.75">
      <c r="A7" s="7" t="str">
        <f>Assemblies!A7</f>
        <v>WNG</v>
      </c>
      <c r="B7" s="7" t="str">
        <f>Assemblies!B7</f>
        <v>Wings</v>
      </c>
      <c r="C7" s="24">
        <f>Assemblies!F7</f>
        <v>3970</v>
      </c>
      <c r="D7" s="15">
        <f>SUMIFS('Calc Materials'!$F$6:$F$53,'Calc Materials'!$A$6:$A$53,$A7,'Calc Materials'!$C$6:$C$53,"Composite")</f>
        <v>3337</v>
      </c>
      <c r="E7" s="15">
        <f>SUMIFS('Calc Materials'!$F$6:$F$53,'Calc Materials'!$A$6:$A$53,$A7,'Calc Materials'!$C$6:$C$53,"Metal")</f>
        <v>548</v>
      </c>
      <c r="F7" s="15">
        <f>SUMIFS('Calc Materials'!$F$6:$F$53,'Calc Materials'!$A$6:$A$53,$A7,'Calc Materials'!$C$6:$C$53,"Electronics")</f>
        <v>0</v>
      </c>
      <c r="G7" s="15">
        <f>SUMIFS('Calc Materials'!$F$6:$F$53,'Calc Materials'!$A$6:$A$53,$A7,'Calc Materials'!$C$6:$C$53,"Other")</f>
        <v>84.999999999999986</v>
      </c>
      <c r="H7" s="24">
        <f t="shared" si="0"/>
        <v>348382.80000000005</v>
      </c>
      <c r="I7" s="15">
        <f>E7*IF(IFERROR(VLOOKUP($A7,Assemblies!$A$6:$N$11,7,FALSE),"")="Propulsion",28,24)</f>
        <v>13152</v>
      </c>
      <c r="J7" s="24">
        <f t="shared" si="1"/>
        <v>361534.80000000005</v>
      </c>
      <c r="K7" s="15">
        <f>C7/1000*(IFERROR(VLOOKUP($A7,Assemblies!$A$6:$N$11,10,FALSE),0)+IFERROR(VLOOKUP($A7,Assemblies!$A$6:$N$11,12,FALSE),0))</f>
        <v>992.5</v>
      </c>
      <c r="L7" s="15">
        <f>C7/1000*IFERROR(VLOOKUP($A7,Assemblies!$A$6:$N$11,11,FALSE),0)</f>
        <v>3970</v>
      </c>
      <c r="M7" s="19">
        <f>IF(C7=0,0,SUMIF('Calc Materials'!$A$6:$A$53,$A7,'Calc Materials'!$I$6:$I$53)/C7)</f>
        <v>0.1</v>
      </c>
      <c r="N7" s="26">
        <f>SUMIF('Calc Materials'!$A$6:$A$53,$A7,'Calc Materials'!$T$6:$T$53)</f>
        <v>78035</v>
      </c>
      <c r="O7" s="26">
        <f>SUMIF('Calc Materials'!$A$6:$A$53,$A7,'Calc Materials'!$U$6:$U$53)</f>
        <v>51721</v>
      </c>
      <c r="P7" s="26">
        <f>SUMIF('Calc Materials'!$A$6:$A$53,$A7,'Calc Materials'!$V$6:$V$53)</f>
        <v>71.23</v>
      </c>
      <c r="Q7" s="26">
        <f>SUMIF('Calc Materials'!$A$6:$A$53,$A7,'Calc Materials'!$W$6:$W$53)</f>
        <v>103.71</v>
      </c>
      <c r="R7" s="26">
        <f>SUMIF('Calc Materials'!$A$6:$A$53,$A7,'Calc Materials'!$X$6:$X$53)</f>
        <v>4.0882999999999994</v>
      </c>
      <c r="S7" s="26">
        <f>SUMIF('Calc Materials'!$A$6:$A$53,$A7,'Calc Materials'!$Y$6:$Y$53)</f>
        <v>22263</v>
      </c>
      <c r="T7" s="26">
        <f>SUMIF('Calc Materials'!$A$6:$A$53,$A7,'Calc Materials'!$Z$6:$Z$53)</f>
        <v>345.84</v>
      </c>
      <c r="U7" s="26">
        <f>SUMIF('Calc Materials'!$A$6:$A$53,$A7,'Calc Materials'!$AA$6:$AA$53)</f>
        <v>14760</v>
      </c>
      <c r="V7" s="26">
        <f>J7*IFERROR(VLOOKUP("Energy Electricity",'OpenLCA Factors'!$A$6:$L$200,4,FALSE),0)</f>
        <v>0</v>
      </c>
      <c r="W7" s="26">
        <f>J7*IFERROR(VLOOKUP("Energy Electricity",'OpenLCA Factors'!$A$6:$L$200,5,FALSE),0)</f>
        <v>0</v>
      </c>
      <c r="X7" s="26">
        <f>J7*IFERROR(VLOOKUP("Energy Electricity",'OpenLCA Factors'!$A$6:$L$200,6,FALSE),0)</f>
        <v>0</v>
      </c>
      <c r="Y7" s="26">
        <f>J7*IFERROR(VLOOKUP("Energy Electricity",'OpenLCA Factors'!$A$6:$L$200,7,FALSE),0)</f>
        <v>0</v>
      </c>
      <c r="Z7" s="26">
        <f>J7*IFERROR(VLOOKUP("Energy Electricity",'OpenLCA Factors'!$A$6:$L$200,8,FALSE),0)</f>
        <v>0</v>
      </c>
      <c r="AA7" s="26">
        <f>J7*IFERROR(VLOOKUP("Energy Electricity",'OpenLCA Factors'!$A$6:$L$200,9,FALSE),0)</f>
        <v>0</v>
      </c>
      <c r="AB7" s="26">
        <f>J7*IFERROR(VLOOKUP("Energy Electricity",'OpenLCA Factors'!$A$6:$L$200,10,FALSE),0)</f>
        <v>0</v>
      </c>
      <c r="AC7" s="26">
        <f>J7*IFERROR(VLOOKUP("Energy Electricity",'OpenLCA Factors'!$A$6:$L$200,11,FALSE),0)</f>
        <v>0</v>
      </c>
      <c r="AD7" s="26">
        <f>K7*IFERROR(VLOOKUP("Freight Road",'OpenLCA Factors'!$A$6:$L$200,4,FALSE),0)+L7*IFERROR(VLOOKUP("Freight Sea",'OpenLCA Factors'!$A$6:$L$200,4,FALSE),0)</f>
        <v>0</v>
      </c>
      <c r="AE7" s="26">
        <f>K7*IFERROR(VLOOKUP("Freight Road",'OpenLCA Factors'!$A$6:$L$200,5,FALSE),0)+L7*IFERROR(VLOOKUP("Freight Sea",'OpenLCA Factors'!$A$6:$L$200,5,FALSE),0)</f>
        <v>0</v>
      </c>
      <c r="AF7" s="26">
        <f>K7*IFERROR(VLOOKUP("Freight Road",'OpenLCA Factors'!$A$6:$L$200,6,FALSE),0)+L7*IFERROR(VLOOKUP("Freight Sea",'OpenLCA Factors'!$A$6:$L$200,6,FALSE),0)</f>
        <v>0</v>
      </c>
      <c r="AG7" s="26">
        <f>K7*IFERROR(VLOOKUP("Freight Road",'OpenLCA Factors'!$A$6:$L$200,7,FALSE),0)+L7*IFERROR(VLOOKUP("Freight Sea",'OpenLCA Factors'!$A$6:$L$200,7,FALSE),0)</f>
        <v>0</v>
      </c>
      <c r="AH7" s="26">
        <f>K7*IFERROR(VLOOKUP("Freight Road",'OpenLCA Factors'!$A$6:$L$200,8,FALSE),0)+L7*IFERROR(VLOOKUP("Freight Sea",'OpenLCA Factors'!$A$6:$L$200,8,FALSE),0)</f>
        <v>0</v>
      </c>
      <c r="AI7" s="26">
        <f>K7*IFERROR(VLOOKUP("Freight Road",'OpenLCA Factors'!$A$6:$L$200,9,FALSE),0)+L7*IFERROR(VLOOKUP("Freight Sea",'OpenLCA Factors'!$A$6:$L$200,9,FALSE),0)</f>
        <v>0</v>
      </c>
      <c r="AJ7" s="26">
        <f>K7*IFERROR(VLOOKUP("Freight Road",'OpenLCA Factors'!$A$6:$L$200,10,FALSE),0)+L7*IFERROR(VLOOKUP("Freight Sea",'OpenLCA Factors'!$A$6:$L$200,10,FALSE),0)</f>
        <v>0</v>
      </c>
      <c r="AK7" s="26">
        <f>K7*IFERROR(VLOOKUP("Freight Road",'OpenLCA Factors'!$A$6:$L$200,11,FALSE),0)+L7*IFERROR(VLOOKUP("Freight Sea",'OpenLCA Factors'!$A$6:$L$200,11,FALSE),0)</f>
        <v>0</v>
      </c>
      <c r="AL7" s="25">
        <f t="shared" si="2"/>
        <v>78035</v>
      </c>
      <c r="AM7" s="25">
        <f t="shared" si="2"/>
        <v>51721</v>
      </c>
      <c r="AN7" s="25">
        <f t="shared" si="2"/>
        <v>71.23</v>
      </c>
      <c r="AO7" s="25">
        <f t="shared" si="2"/>
        <v>103.71</v>
      </c>
      <c r="AP7" s="25">
        <f t="shared" si="2"/>
        <v>4.0882999999999994</v>
      </c>
      <c r="AQ7" s="25">
        <f t="shared" si="2"/>
        <v>22263</v>
      </c>
      <c r="AR7" s="25">
        <f t="shared" si="2"/>
        <v>345.84</v>
      </c>
      <c r="AS7" s="25">
        <f t="shared" si="2"/>
        <v>14760</v>
      </c>
      <c r="AT7" s="25">
        <f t="shared" si="3"/>
        <v>70231.5</v>
      </c>
      <c r="AU7" s="25">
        <f t="shared" si="4"/>
        <v>78035</v>
      </c>
      <c r="AV7" s="25">
        <f t="shared" si="5"/>
        <v>85838.5</v>
      </c>
    </row>
    <row r="8" spans="1:48" x14ac:dyDescent="0.75">
      <c r="A8" s="7" t="str">
        <f>Assemblies!A8</f>
        <v>EMP</v>
      </c>
      <c r="B8" s="7" t="str">
        <f>Assemblies!B8</f>
        <v>Empennage</v>
      </c>
      <c r="C8" s="24">
        <f>Assemblies!F8</f>
        <v>660</v>
      </c>
      <c r="D8" s="15">
        <f>SUMIFS('Calc Materials'!$F$6:$F$53,'Calc Materials'!$A$6:$A$53,$A8,'Calc Materials'!$C$6:$C$53,"Composite")</f>
        <v>653</v>
      </c>
      <c r="E8" s="15">
        <f>SUMIFS('Calc Materials'!$F$6:$F$53,'Calc Materials'!$A$6:$A$53,$A8,'Calc Materials'!$C$6:$C$53,"Metal")</f>
        <v>7.0000000000000027</v>
      </c>
      <c r="F8" s="15">
        <f>SUMIFS('Calc Materials'!$F$6:$F$53,'Calc Materials'!$A$6:$A$53,$A8,'Calc Materials'!$C$6:$C$53,"Electronics")</f>
        <v>0</v>
      </c>
      <c r="G8" s="15">
        <f>SUMIFS('Calc Materials'!$F$6:$F$53,'Calc Materials'!$A$6:$A$53,$A8,'Calc Materials'!$C$6:$C$53,"Other")</f>
        <v>0</v>
      </c>
      <c r="H8" s="24">
        <f t="shared" si="0"/>
        <v>68173.2</v>
      </c>
      <c r="I8" s="15">
        <f>E8*IF(IFERROR(VLOOKUP($A8,Assemblies!$A$6:$N$11,7,FALSE),"")="Propulsion",28,24)</f>
        <v>168.00000000000006</v>
      </c>
      <c r="J8" s="24">
        <f t="shared" si="1"/>
        <v>68341.2</v>
      </c>
      <c r="K8" s="15">
        <f>C8/1000*(IFERROR(VLOOKUP($A8,Assemblies!$A$6:$N$11,10,FALSE),0)+IFERROR(VLOOKUP($A8,Assemblies!$A$6:$N$11,12,FALSE),0))</f>
        <v>118.80000000000001</v>
      </c>
      <c r="L8" s="15">
        <f>C8/1000*IFERROR(VLOOKUP($A8,Assemblies!$A$6:$N$11,11,FALSE),0)</f>
        <v>396</v>
      </c>
      <c r="M8" s="19">
        <f>IF(C8=0,0,SUMIF('Calc Materials'!$A$6:$A$53,$A8,'Calc Materials'!$I$6:$I$53)/C8)</f>
        <v>0.2</v>
      </c>
      <c r="N8" s="26">
        <f>SUMIF('Calc Materials'!$A$6:$A$53,$A8,'Calc Materials'!$T$6:$T$53)</f>
        <v>12125</v>
      </c>
      <c r="O8" s="26">
        <f>SUMIF('Calc Materials'!$A$6:$A$53,$A8,'Calc Materials'!$U$6:$U$53)</f>
        <v>9107</v>
      </c>
      <c r="P8" s="26">
        <f>SUMIF('Calc Materials'!$A$6:$A$53,$A8,'Calc Materials'!$V$6:$V$53)</f>
        <v>12.192</v>
      </c>
      <c r="Q8" s="26">
        <f>SUMIF('Calc Materials'!$A$6:$A$53,$A8,'Calc Materials'!$W$6:$W$53)</f>
        <v>18.2</v>
      </c>
      <c r="R8" s="26">
        <f>SUMIF('Calc Materials'!$A$6:$A$53,$A8,'Calc Materials'!$X$6:$X$53)</f>
        <v>0.73349999999999993</v>
      </c>
      <c r="S8" s="26">
        <f>SUMIF('Calc Materials'!$A$6:$A$53,$A8,'Calc Materials'!$Y$6:$Y$53)</f>
        <v>3613.9</v>
      </c>
      <c r="T8" s="26">
        <f>SUMIF('Calc Materials'!$A$6:$A$53,$A8,'Calc Materials'!$Z$6:$Z$53)</f>
        <v>60.89</v>
      </c>
      <c r="U8" s="26">
        <f>SUMIF('Calc Materials'!$A$6:$A$53,$A8,'Calc Materials'!$AA$6:$AA$53)</f>
        <v>2408.7999999999997</v>
      </c>
      <c r="V8" s="26">
        <f>J8*IFERROR(VLOOKUP("Energy Electricity",'OpenLCA Factors'!$A$6:$L$200,4,FALSE),0)</f>
        <v>0</v>
      </c>
      <c r="W8" s="26">
        <f>J8*IFERROR(VLOOKUP("Energy Electricity",'OpenLCA Factors'!$A$6:$L$200,5,FALSE),0)</f>
        <v>0</v>
      </c>
      <c r="X8" s="26">
        <f>J8*IFERROR(VLOOKUP("Energy Electricity",'OpenLCA Factors'!$A$6:$L$200,6,FALSE),0)</f>
        <v>0</v>
      </c>
      <c r="Y8" s="26">
        <f>J8*IFERROR(VLOOKUP("Energy Electricity",'OpenLCA Factors'!$A$6:$L$200,7,FALSE),0)</f>
        <v>0</v>
      </c>
      <c r="Z8" s="26">
        <f>J8*IFERROR(VLOOKUP("Energy Electricity",'OpenLCA Factors'!$A$6:$L$200,8,FALSE),0)</f>
        <v>0</v>
      </c>
      <c r="AA8" s="26">
        <f>J8*IFERROR(VLOOKUP("Energy Electricity",'OpenLCA Factors'!$A$6:$L$200,9,FALSE),0)</f>
        <v>0</v>
      </c>
      <c r="AB8" s="26">
        <f>J8*IFERROR(VLOOKUP("Energy Electricity",'OpenLCA Factors'!$A$6:$L$200,10,FALSE),0)</f>
        <v>0</v>
      </c>
      <c r="AC8" s="26">
        <f>J8*IFERROR(VLOOKUP("Energy Electricity",'OpenLCA Factors'!$A$6:$L$200,11,FALSE),0)</f>
        <v>0</v>
      </c>
      <c r="AD8" s="26">
        <f>K8*IFERROR(VLOOKUP("Freight Road",'OpenLCA Factors'!$A$6:$L$200,4,FALSE),0)+L8*IFERROR(VLOOKUP("Freight Sea",'OpenLCA Factors'!$A$6:$L$200,4,FALSE),0)</f>
        <v>0</v>
      </c>
      <c r="AE8" s="26">
        <f>K8*IFERROR(VLOOKUP("Freight Road",'OpenLCA Factors'!$A$6:$L$200,5,FALSE),0)+L8*IFERROR(VLOOKUP("Freight Sea",'OpenLCA Factors'!$A$6:$L$200,5,FALSE),0)</f>
        <v>0</v>
      </c>
      <c r="AF8" s="26">
        <f>K8*IFERROR(VLOOKUP("Freight Road",'OpenLCA Factors'!$A$6:$L$200,6,FALSE),0)+L8*IFERROR(VLOOKUP("Freight Sea",'OpenLCA Factors'!$A$6:$L$200,6,FALSE),0)</f>
        <v>0</v>
      </c>
      <c r="AG8" s="26">
        <f>K8*IFERROR(VLOOKUP("Freight Road",'OpenLCA Factors'!$A$6:$L$200,7,FALSE),0)+L8*IFERROR(VLOOKUP("Freight Sea",'OpenLCA Factors'!$A$6:$L$200,7,FALSE),0)</f>
        <v>0</v>
      </c>
      <c r="AH8" s="26">
        <f>K8*IFERROR(VLOOKUP("Freight Road",'OpenLCA Factors'!$A$6:$L$200,8,FALSE),0)+L8*IFERROR(VLOOKUP("Freight Sea",'OpenLCA Factors'!$A$6:$L$200,8,FALSE),0)</f>
        <v>0</v>
      </c>
      <c r="AI8" s="26">
        <f>K8*IFERROR(VLOOKUP("Freight Road",'OpenLCA Factors'!$A$6:$L$200,9,FALSE),0)+L8*IFERROR(VLOOKUP("Freight Sea",'OpenLCA Factors'!$A$6:$L$200,9,FALSE),0)</f>
        <v>0</v>
      </c>
      <c r="AJ8" s="26">
        <f>K8*IFERROR(VLOOKUP("Freight Road",'OpenLCA Factors'!$A$6:$L$200,10,FALSE),0)+L8*IFERROR(VLOOKUP("Freight Sea",'OpenLCA Factors'!$A$6:$L$200,10,FALSE),0)</f>
        <v>0</v>
      </c>
      <c r="AK8" s="26">
        <f>K8*IFERROR(VLOOKUP("Freight Road",'OpenLCA Factors'!$A$6:$L$200,11,FALSE),0)+L8*IFERROR(VLOOKUP("Freight Sea",'OpenLCA Factors'!$A$6:$L$200,11,FALSE),0)</f>
        <v>0</v>
      </c>
      <c r="AL8" s="25">
        <f t="shared" si="2"/>
        <v>12125</v>
      </c>
      <c r="AM8" s="25">
        <f t="shared" si="2"/>
        <v>9107</v>
      </c>
      <c r="AN8" s="25">
        <f t="shared" si="2"/>
        <v>12.192</v>
      </c>
      <c r="AO8" s="25">
        <f t="shared" si="2"/>
        <v>18.2</v>
      </c>
      <c r="AP8" s="25">
        <f t="shared" si="2"/>
        <v>0.73349999999999993</v>
      </c>
      <c r="AQ8" s="25">
        <f t="shared" si="2"/>
        <v>3613.9</v>
      </c>
      <c r="AR8" s="25">
        <f t="shared" si="2"/>
        <v>60.89</v>
      </c>
      <c r="AS8" s="25">
        <f t="shared" si="2"/>
        <v>2408.7999999999997</v>
      </c>
      <c r="AT8" s="25">
        <f t="shared" si="3"/>
        <v>9700</v>
      </c>
      <c r="AU8" s="25">
        <f t="shared" si="4"/>
        <v>12125</v>
      </c>
      <c r="AV8" s="25">
        <f t="shared" si="5"/>
        <v>14550</v>
      </c>
    </row>
    <row r="9" spans="1:48" x14ac:dyDescent="0.75">
      <c r="A9" s="7" t="str">
        <f>Assemblies!A9</f>
        <v>PRO</v>
      </c>
      <c r="B9" s="7" t="str">
        <f>Assemblies!B9</f>
        <v>Propulsion</v>
      </c>
      <c r="C9" s="24">
        <f>Assemblies!F9</f>
        <v>2000</v>
      </c>
      <c r="D9" s="15">
        <f>SUMIFS('Calc Materials'!$F$6:$F$53,'Calc Materials'!$A$6:$A$53,$A9,'Calc Materials'!$C$6:$C$53,"Composite")</f>
        <v>17.399999999999995</v>
      </c>
      <c r="E9" s="15">
        <f>SUMIFS('Calc Materials'!$F$6:$F$53,'Calc Materials'!$A$6:$A$53,$A9,'Calc Materials'!$C$6:$C$53,"Metal")</f>
        <v>1913.1999999999998</v>
      </c>
      <c r="F9" s="15">
        <f>SUMIFS('Calc Materials'!$F$6:$F$53,'Calc Materials'!$A$6:$A$53,$A9,'Calc Materials'!$C$6:$C$53,"Electronics")</f>
        <v>25.999999999999993</v>
      </c>
      <c r="G9" s="15">
        <f>SUMIFS('Calc Materials'!$F$6:$F$53,'Calc Materials'!$A$6:$A$53,$A9,'Calc Materials'!$C$6:$C$53,"Other")</f>
        <v>43.399999999999991</v>
      </c>
      <c r="H9" s="24">
        <f t="shared" si="0"/>
        <v>1816.5599999999995</v>
      </c>
      <c r="I9" s="15">
        <f>E9*IF(IFERROR(VLOOKUP($A9,Assemblies!$A$6:$N$11,7,FALSE),"")="Propulsion",28,24)</f>
        <v>53569.599999999991</v>
      </c>
      <c r="J9" s="24">
        <f t="shared" si="1"/>
        <v>55386.159999999989</v>
      </c>
      <c r="K9" s="15">
        <f>C9/1000*(IFERROR(VLOOKUP($A9,Assemblies!$A$6:$N$11,10,FALSE),0)+IFERROR(VLOOKUP($A9,Assemblies!$A$6:$N$11,12,FALSE),0))</f>
        <v>560</v>
      </c>
      <c r="L9" s="15">
        <f>C9/1000*IFERROR(VLOOKUP($A9,Assemblies!$A$6:$N$11,11,FALSE),0)</f>
        <v>1600</v>
      </c>
      <c r="M9" s="19">
        <f>IF(C9=0,0,SUMIF('Calc Materials'!$A$6:$A$53,$A9,'Calc Materials'!$I$6:$I$53)/C9)</f>
        <v>9.9999999999999992E-2</v>
      </c>
      <c r="N9" s="26">
        <f>SUMIF('Calc Materials'!$A$6:$A$53,$A9,'Calc Materials'!$T$6:$T$53)</f>
        <v>58625.399999999987</v>
      </c>
      <c r="O9" s="26">
        <f>SUMIF('Calc Materials'!$A$6:$A$53,$A9,'Calc Materials'!$U$6:$U$53)</f>
        <v>20964.400000000001</v>
      </c>
      <c r="P9" s="26">
        <f>SUMIF('Calc Materials'!$A$6:$A$53,$A9,'Calc Materials'!$V$6:$V$53)</f>
        <v>35.607999999999997</v>
      </c>
      <c r="Q9" s="26">
        <f>SUMIF('Calc Materials'!$A$6:$A$53,$A9,'Calc Materials'!$W$6:$W$53)</f>
        <v>42.460799999999992</v>
      </c>
      <c r="R9" s="26">
        <f>SUMIF('Calc Materials'!$A$6:$A$53,$A9,'Calc Materials'!$X$6:$X$53)</f>
        <v>1.4269400000000001</v>
      </c>
      <c r="S9" s="26">
        <f>SUMIF('Calc Materials'!$A$6:$A$53,$A9,'Calc Materials'!$Y$6:$Y$53)</f>
        <v>18559.18</v>
      </c>
      <c r="T9" s="26">
        <f>SUMIF('Calc Materials'!$A$6:$A$53,$A9,'Calc Materials'!$Z$6:$Z$53)</f>
        <v>133.99999999999997</v>
      </c>
      <c r="U9" s="26">
        <f>SUMIF('Calc Materials'!$A$6:$A$53,$A9,'Calc Materials'!$AA$6:$AA$53)</f>
        <v>10697.999999999998</v>
      </c>
      <c r="V9" s="26">
        <f>J9*IFERROR(VLOOKUP("Energy Electricity",'OpenLCA Factors'!$A$6:$L$200,4,FALSE),0)</f>
        <v>0</v>
      </c>
      <c r="W9" s="26">
        <f>J9*IFERROR(VLOOKUP("Energy Electricity",'OpenLCA Factors'!$A$6:$L$200,5,FALSE),0)</f>
        <v>0</v>
      </c>
      <c r="X9" s="26">
        <f>J9*IFERROR(VLOOKUP("Energy Electricity",'OpenLCA Factors'!$A$6:$L$200,6,FALSE),0)</f>
        <v>0</v>
      </c>
      <c r="Y9" s="26">
        <f>J9*IFERROR(VLOOKUP("Energy Electricity",'OpenLCA Factors'!$A$6:$L$200,7,FALSE),0)</f>
        <v>0</v>
      </c>
      <c r="Z9" s="26">
        <f>J9*IFERROR(VLOOKUP("Energy Electricity",'OpenLCA Factors'!$A$6:$L$200,8,FALSE),0)</f>
        <v>0</v>
      </c>
      <c r="AA9" s="26">
        <f>J9*IFERROR(VLOOKUP("Energy Electricity",'OpenLCA Factors'!$A$6:$L$200,9,FALSE),0)</f>
        <v>0</v>
      </c>
      <c r="AB9" s="26">
        <f>J9*IFERROR(VLOOKUP("Energy Electricity",'OpenLCA Factors'!$A$6:$L$200,10,FALSE),0)</f>
        <v>0</v>
      </c>
      <c r="AC9" s="26">
        <f>J9*IFERROR(VLOOKUP("Energy Electricity",'OpenLCA Factors'!$A$6:$L$200,11,FALSE),0)</f>
        <v>0</v>
      </c>
      <c r="AD9" s="26">
        <f>K9*IFERROR(VLOOKUP("Freight Road",'OpenLCA Factors'!$A$6:$L$200,4,FALSE),0)+L9*IFERROR(VLOOKUP("Freight Sea",'OpenLCA Factors'!$A$6:$L$200,4,FALSE),0)</f>
        <v>0</v>
      </c>
      <c r="AE9" s="26">
        <f>K9*IFERROR(VLOOKUP("Freight Road",'OpenLCA Factors'!$A$6:$L$200,5,FALSE),0)+L9*IFERROR(VLOOKUP("Freight Sea",'OpenLCA Factors'!$A$6:$L$200,5,FALSE),0)</f>
        <v>0</v>
      </c>
      <c r="AF9" s="26">
        <f>K9*IFERROR(VLOOKUP("Freight Road",'OpenLCA Factors'!$A$6:$L$200,6,FALSE),0)+L9*IFERROR(VLOOKUP("Freight Sea",'OpenLCA Factors'!$A$6:$L$200,6,FALSE),0)</f>
        <v>0</v>
      </c>
      <c r="AG9" s="26">
        <f>K9*IFERROR(VLOOKUP("Freight Road",'OpenLCA Factors'!$A$6:$L$200,7,FALSE),0)+L9*IFERROR(VLOOKUP("Freight Sea",'OpenLCA Factors'!$A$6:$L$200,7,FALSE),0)</f>
        <v>0</v>
      </c>
      <c r="AH9" s="26">
        <f>K9*IFERROR(VLOOKUP("Freight Road",'OpenLCA Factors'!$A$6:$L$200,8,FALSE),0)+L9*IFERROR(VLOOKUP("Freight Sea",'OpenLCA Factors'!$A$6:$L$200,8,FALSE),0)</f>
        <v>0</v>
      </c>
      <c r="AI9" s="26">
        <f>K9*IFERROR(VLOOKUP("Freight Road",'OpenLCA Factors'!$A$6:$L$200,9,FALSE),0)+L9*IFERROR(VLOOKUP("Freight Sea",'OpenLCA Factors'!$A$6:$L$200,9,FALSE),0)</f>
        <v>0</v>
      </c>
      <c r="AJ9" s="26">
        <f>K9*IFERROR(VLOOKUP("Freight Road",'OpenLCA Factors'!$A$6:$L$200,10,FALSE),0)+L9*IFERROR(VLOOKUP("Freight Sea",'OpenLCA Factors'!$A$6:$L$200,10,FALSE),0)</f>
        <v>0</v>
      </c>
      <c r="AK9" s="26">
        <f>K9*IFERROR(VLOOKUP("Freight Road",'OpenLCA Factors'!$A$6:$L$200,11,FALSE),0)+L9*IFERROR(VLOOKUP("Freight Sea",'OpenLCA Factors'!$A$6:$L$200,11,FALSE),0)</f>
        <v>0</v>
      </c>
      <c r="AL9" s="25">
        <f t="shared" si="2"/>
        <v>58625.399999999987</v>
      </c>
      <c r="AM9" s="25">
        <f t="shared" si="2"/>
        <v>20964.400000000001</v>
      </c>
      <c r="AN9" s="25">
        <f t="shared" si="2"/>
        <v>35.607999999999997</v>
      </c>
      <c r="AO9" s="25">
        <f t="shared" si="2"/>
        <v>42.460799999999992</v>
      </c>
      <c r="AP9" s="25">
        <f t="shared" si="2"/>
        <v>1.4269400000000001</v>
      </c>
      <c r="AQ9" s="25">
        <f t="shared" si="2"/>
        <v>18559.18</v>
      </c>
      <c r="AR9" s="25">
        <f t="shared" si="2"/>
        <v>133.99999999999997</v>
      </c>
      <c r="AS9" s="25">
        <f t="shared" si="2"/>
        <v>10697.999999999998</v>
      </c>
      <c r="AT9" s="25">
        <f t="shared" si="3"/>
        <v>52762.859999999986</v>
      </c>
      <c r="AU9" s="25">
        <f t="shared" si="4"/>
        <v>58625.399999999987</v>
      </c>
      <c r="AV9" s="25">
        <f t="shared" si="5"/>
        <v>64487.939999999988</v>
      </c>
    </row>
    <row r="10" spans="1:48" x14ac:dyDescent="0.75">
      <c r="A10" s="7" t="str">
        <f>Assemblies!A10</f>
        <v>LGR</v>
      </c>
      <c r="B10" s="7" t="str">
        <f>Assemblies!B10</f>
        <v>Landing Gear</v>
      </c>
      <c r="C10" s="24">
        <f>Assemblies!F10</f>
        <v>1242</v>
      </c>
      <c r="D10" s="15">
        <f>SUMIFS('Calc Materials'!$F$6:$F$53,'Calc Materials'!$A$6:$A$53,$A10,'Calc Materials'!$C$6:$C$53,"Composite")</f>
        <v>780</v>
      </c>
      <c r="E10" s="15">
        <f>SUMIFS('Calc Materials'!$F$6:$F$53,'Calc Materials'!$A$6:$A$53,$A10,'Calc Materials'!$C$6:$C$53,"Metal")</f>
        <v>461.99999999999994</v>
      </c>
      <c r="F10" s="15">
        <f>SUMIFS('Calc Materials'!$F$6:$F$53,'Calc Materials'!$A$6:$A$53,$A10,'Calc Materials'!$C$6:$C$53,"Electronics")</f>
        <v>0</v>
      </c>
      <c r="G10" s="15">
        <f>SUMIFS('Calc Materials'!$F$6:$F$53,'Calc Materials'!$A$6:$A$53,$A10,'Calc Materials'!$C$6:$C$53,"Other")</f>
        <v>0</v>
      </c>
      <c r="H10" s="24">
        <f t="shared" si="0"/>
        <v>81432</v>
      </c>
      <c r="I10" s="15">
        <f>E10*IF(IFERROR(VLOOKUP($A10,Assemblies!$A$6:$N$11,7,FALSE),"")="Propulsion",28,24)</f>
        <v>11087.999999999998</v>
      </c>
      <c r="J10" s="24">
        <f t="shared" si="1"/>
        <v>92520</v>
      </c>
      <c r="K10" s="15">
        <f>C10/1000*(IFERROR(VLOOKUP($A10,Assemblies!$A$6:$N$11,10,FALSE),0)+IFERROR(VLOOKUP($A10,Assemblies!$A$6:$N$11,12,FALSE),0))</f>
        <v>372.6</v>
      </c>
      <c r="L10" s="15">
        <f>C10/1000*IFERROR(VLOOKUP($A10,Assemblies!$A$6:$N$11,11,FALSE),0)</f>
        <v>869.4</v>
      </c>
      <c r="M10" s="19">
        <f>IF(C10=0,0,SUMIF('Calc Materials'!$A$6:$A$53,$A10,'Calc Materials'!$I$6:$I$53)/C10)</f>
        <v>0.2</v>
      </c>
      <c r="N10" s="26">
        <f>SUMIF('Calc Materials'!$A$6:$A$53,$A10,'Calc Materials'!$T$6:$T$53)</f>
        <v>19552.5</v>
      </c>
      <c r="O10" s="26">
        <f>SUMIF('Calc Materials'!$A$6:$A$53,$A10,'Calc Materials'!$U$6:$U$53)</f>
        <v>13614</v>
      </c>
      <c r="P10" s="26">
        <f>SUMIF('Calc Materials'!$A$6:$A$53,$A10,'Calc Materials'!$V$6:$V$53)</f>
        <v>18.597000000000001</v>
      </c>
      <c r="Q10" s="26">
        <f>SUMIF('Calc Materials'!$A$6:$A$53,$A10,'Calc Materials'!$W$6:$W$53)</f>
        <v>27.207000000000001</v>
      </c>
      <c r="R10" s="26">
        <f>SUMIF('Calc Materials'!$A$6:$A$53,$A10,'Calc Materials'!$X$6:$X$53)</f>
        <v>1.0878000000000001</v>
      </c>
      <c r="S10" s="26">
        <f>SUMIF('Calc Materials'!$A$6:$A$53,$A10,'Calc Materials'!$Y$6:$Y$53)</f>
        <v>5742.6</v>
      </c>
      <c r="T10" s="26">
        <f>SUMIF('Calc Materials'!$A$6:$A$53,$A10,'Calc Materials'!$Z$6:$Z$53)</f>
        <v>92.7</v>
      </c>
      <c r="U10" s="26">
        <f>SUMIF('Calc Materials'!$A$6:$A$53,$A10,'Calc Materials'!$AA$6:$AA$53)</f>
        <v>3778.8</v>
      </c>
      <c r="V10" s="26">
        <f>J10*IFERROR(VLOOKUP("Energy Electricity",'OpenLCA Factors'!$A$6:$L$200,4,FALSE),0)</f>
        <v>0</v>
      </c>
      <c r="W10" s="26">
        <f>J10*IFERROR(VLOOKUP("Energy Electricity",'OpenLCA Factors'!$A$6:$L$200,5,FALSE),0)</f>
        <v>0</v>
      </c>
      <c r="X10" s="26">
        <f>J10*IFERROR(VLOOKUP("Energy Electricity",'OpenLCA Factors'!$A$6:$L$200,6,FALSE),0)</f>
        <v>0</v>
      </c>
      <c r="Y10" s="26">
        <f>J10*IFERROR(VLOOKUP("Energy Electricity",'OpenLCA Factors'!$A$6:$L$200,7,FALSE),0)</f>
        <v>0</v>
      </c>
      <c r="Z10" s="26">
        <f>J10*IFERROR(VLOOKUP("Energy Electricity",'OpenLCA Factors'!$A$6:$L$200,8,FALSE),0)</f>
        <v>0</v>
      </c>
      <c r="AA10" s="26">
        <f>J10*IFERROR(VLOOKUP("Energy Electricity",'OpenLCA Factors'!$A$6:$L$200,9,FALSE),0)</f>
        <v>0</v>
      </c>
      <c r="AB10" s="26">
        <f>J10*IFERROR(VLOOKUP("Energy Electricity",'OpenLCA Factors'!$A$6:$L$200,10,FALSE),0)</f>
        <v>0</v>
      </c>
      <c r="AC10" s="26">
        <f>J10*IFERROR(VLOOKUP("Energy Electricity",'OpenLCA Factors'!$A$6:$L$200,11,FALSE),0)</f>
        <v>0</v>
      </c>
      <c r="AD10" s="26">
        <f>K10*IFERROR(VLOOKUP("Freight Road",'OpenLCA Factors'!$A$6:$L$200,4,FALSE),0)+L10*IFERROR(VLOOKUP("Freight Sea",'OpenLCA Factors'!$A$6:$L$200,4,FALSE),0)</f>
        <v>0</v>
      </c>
      <c r="AE10" s="26">
        <f>K10*IFERROR(VLOOKUP("Freight Road",'OpenLCA Factors'!$A$6:$L$200,5,FALSE),0)+L10*IFERROR(VLOOKUP("Freight Sea",'OpenLCA Factors'!$A$6:$L$200,5,FALSE),0)</f>
        <v>0</v>
      </c>
      <c r="AF10" s="26">
        <f>K10*IFERROR(VLOOKUP("Freight Road",'OpenLCA Factors'!$A$6:$L$200,6,FALSE),0)+L10*IFERROR(VLOOKUP("Freight Sea",'OpenLCA Factors'!$A$6:$L$200,6,FALSE),0)</f>
        <v>0</v>
      </c>
      <c r="AG10" s="26">
        <f>K10*IFERROR(VLOOKUP("Freight Road",'OpenLCA Factors'!$A$6:$L$200,7,FALSE),0)+L10*IFERROR(VLOOKUP("Freight Sea",'OpenLCA Factors'!$A$6:$L$200,7,FALSE),0)</f>
        <v>0</v>
      </c>
      <c r="AH10" s="26">
        <f>K10*IFERROR(VLOOKUP("Freight Road",'OpenLCA Factors'!$A$6:$L$200,8,FALSE),0)+L10*IFERROR(VLOOKUP("Freight Sea",'OpenLCA Factors'!$A$6:$L$200,8,FALSE),0)</f>
        <v>0</v>
      </c>
      <c r="AI10" s="26">
        <f>K10*IFERROR(VLOOKUP("Freight Road",'OpenLCA Factors'!$A$6:$L$200,9,FALSE),0)+L10*IFERROR(VLOOKUP("Freight Sea",'OpenLCA Factors'!$A$6:$L$200,9,FALSE),0)</f>
        <v>0</v>
      </c>
      <c r="AJ10" s="26">
        <f>K10*IFERROR(VLOOKUP("Freight Road",'OpenLCA Factors'!$A$6:$L$200,10,FALSE),0)+L10*IFERROR(VLOOKUP("Freight Sea",'OpenLCA Factors'!$A$6:$L$200,10,FALSE),0)</f>
        <v>0</v>
      </c>
      <c r="AK10" s="26">
        <f>K10*IFERROR(VLOOKUP("Freight Road",'OpenLCA Factors'!$A$6:$L$200,11,FALSE),0)+L10*IFERROR(VLOOKUP("Freight Sea",'OpenLCA Factors'!$A$6:$L$200,11,FALSE),0)</f>
        <v>0</v>
      </c>
      <c r="AL10" s="25">
        <f t="shared" si="2"/>
        <v>19552.5</v>
      </c>
      <c r="AM10" s="25">
        <f t="shared" si="2"/>
        <v>13614</v>
      </c>
      <c r="AN10" s="25">
        <f t="shared" si="2"/>
        <v>18.597000000000001</v>
      </c>
      <c r="AO10" s="25">
        <f t="shared" si="2"/>
        <v>27.207000000000001</v>
      </c>
      <c r="AP10" s="25">
        <f t="shared" si="2"/>
        <v>1.0878000000000001</v>
      </c>
      <c r="AQ10" s="25">
        <f t="shared" si="2"/>
        <v>5742.6</v>
      </c>
      <c r="AR10" s="25">
        <f t="shared" si="2"/>
        <v>92.7</v>
      </c>
      <c r="AS10" s="25">
        <f t="shared" si="2"/>
        <v>3778.8</v>
      </c>
      <c r="AT10" s="25">
        <f t="shared" si="3"/>
        <v>15642</v>
      </c>
      <c r="AU10" s="25">
        <f t="shared" si="4"/>
        <v>19552.5</v>
      </c>
      <c r="AV10" s="25">
        <f t="shared" si="5"/>
        <v>23463</v>
      </c>
    </row>
    <row r="11" spans="1:48" x14ac:dyDescent="0.75">
      <c r="A11" s="7" t="str">
        <f>Assemblies!A11</f>
        <v>SYS</v>
      </c>
      <c r="B11" s="7" t="str">
        <f>Assemblies!B11</f>
        <v>Systems Other</v>
      </c>
      <c r="C11" s="24">
        <f>Assemblies!F11</f>
        <v>257</v>
      </c>
      <c r="D11" s="15">
        <f>SUMIFS('Calc Materials'!$F$6:$F$53,'Calc Materials'!$A$6:$A$53,$A11,'Calc Materials'!$C$6:$C$53,"Composite")</f>
        <v>25.700000000000003</v>
      </c>
      <c r="E11" s="15">
        <f>SUMIFS('Calc Materials'!$F$6:$F$53,'Calc Materials'!$A$6:$A$53,$A11,'Calc Materials'!$C$6:$C$53,"Metal")</f>
        <v>77.100000000000009</v>
      </c>
      <c r="F11" s="15">
        <f>SUMIFS('Calc Materials'!$F$6:$F$53,'Calc Materials'!$A$6:$A$53,$A11,'Calc Materials'!$C$6:$C$53,"Electronics")</f>
        <v>128.5</v>
      </c>
      <c r="G11" s="15">
        <f>SUMIFS('Calc Materials'!$F$6:$F$53,'Calc Materials'!$A$6:$A$53,$A11,'Calc Materials'!$C$6:$C$53,"Other")</f>
        <v>25.700000000000003</v>
      </c>
      <c r="H11" s="24">
        <f t="shared" si="0"/>
        <v>2683.0800000000004</v>
      </c>
      <c r="I11" s="15">
        <f>E11*IF(IFERROR(VLOOKUP($A11,Assemblies!$A$6:$N$11,7,FALSE),"")="Propulsion",28,24)</f>
        <v>1850.4</v>
      </c>
      <c r="J11" s="24">
        <f t="shared" si="1"/>
        <v>4533.4800000000005</v>
      </c>
      <c r="K11" s="15">
        <f>C11/1000*(IFERROR(VLOOKUP($A11,Assemblies!$A$6:$N$11,10,FALSE),0)+IFERROR(VLOOKUP($A11,Assemblies!$A$6:$N$11,12,FALSE),0))</f>
        <v>38.550000000000004</v>
      </c>
      <c r="L11" s="15">
        <f>C11/1000*IFERROR(VLOOKUP($A11,Assemblies!$A$6:$N$11,11,FALSE),0)</f>
        <v>51.4</v>
      </c>
      <c r="M11" s="19">
        <f>IF(C11=0,0,SUMIF('Calc Materials'!$A$6:$A$53,$A11,'Calc Materials'!$I$6:$I$53)/C11)</f>
        <v>0.3</v>
      </c>
      <c r="N11" s="26">
        <f>SUMIF('Calc Materials'!$A$6:$A$53,$A11,'Calc Materials'!$T$6:$T$53)</f>
        <v>4857.3</v>
      </c>
      <c r="O11" s="26">
        <f>SUMIF('Calc Materials'!$A$6:$A$53,$A11,'Calc Materials'!$U$6:$U$53)</f>
        <v>3058.2999999999997</v>
      </c>
      <c r="P11" s="26">
        <f>SUMIF('Calc Materials'!$A$6:$A$53,$A11,'Calc Materials'!$V$6:$V$53)</f>
        <v>4.2405000000000008</v>
      </c>
      <c r="Q11" s="26">
        <f>SUMIF('Calc Materials'!$A$6:$A$53,$A11,'Calc Materials'!$W$6:$W$53)</f>
        <v>3.7264999999999997</v>
      </c>
      <c r="R11" s="26">
        <f>SUMIF('Calc Materials'!$A$6:$A$53,$A11,'Calc Materials'!$X$6:$X$53)</f>
        <v>0.17476</v>
      </c>
      <c r="S11" s="26">
        <f>SUMIF('Calc Materials'!$A$6:$A$53,$A11,'Calc Materials'!$Y$6:$Y$53)</f>
        <v>3502.91</v>
      </c>
      <c r="T11" s="26">
        <f>SUMIF('Calc Materials'!$A$6:$A$53,$A11,'Calc Materials'!$Z$6:$Z$53)</f>
        <v>11.565000000000001</v>
      </c>
      <c r="U11" s="26">
        <f>SUMIF('Calc Materials'!$A$6:$A$53,$A11,'Calc Materials'!$AA$6:$AA$53)</f>
        <v>1472.61</v>
      </c>
      <c r="V11" s="26">
        <f>J11*IFERROR(VLOOKUP("Energy Electricity",'OpenLCA Factors'!$A$6:$L$200,4,FALSE),0)</f>
        <v>0</v>
      </c>
      <c r="W11" s="26">
        <f>J11*IFERROR(VLOOKUP("Energy Electricity",'OpenLCA Factors'!$A$6:$L$200,5,FALSE),0)</f>
        <v>0</v>
      </c>
      <c r="X11" s="26">
        <f>J11*IFERROR(VLOOKUP("Energy Electricity",'OpenLCA Factors'!$A$6:$L$200,6,FALSE),0)</f>
        <v>0</v>
      </c>
      <c r="Y11" s="26">
        <f>J11*IFERROR(VLOOKUP("Energy Electricity",'OpenLCA Factors'!$A$6:$L$200,7,FALSE),0)</f>
        <v>0</v>
      </c>
      <c r="Z11" s="26">
        <f>J11*IFERROR(VLOOKUP("Energy Electricity",'OpenLCA Factors'!$A$6:$L$200,8,FALSE),0)</f>
        <v>0</v>
      </c>
      <c r="AA11" s="26">
        <f>J11*IFERROR(VLOOKUP("Energy Electricity",'OpenLCA Factors'!$A$6:$L$200,9,FALSE),0)</f>
        <v>0</v>
      </c>
      <c r="AB11" s="26">
        <f>J11*IFERROR(VLOOKUP("Energy Electricity",'OpenLCA Factors'!$A$6:$L$200,10,FALSE),0)</f>
        <v>0</v>
      </c>
      <c r="AC11" s="26">
        <f>J11*IFERROR(VLOOKUP("Energy Electricity",'OpenLCA Factors'!$A$6:$L$200,11,FALSE),0)</f>
        <v>0</v>
      </c>
      <c r="AD11" s="26">
        <f>K11*IFERROR(VLOOKUP("Freight Road",'OpenLCA Factors'!$A$6:$L$200,4,FALSE),0)+L11*IFERROR(VLOOKUP("Freight Sea",'OpenLCA Factors'!$A$6:$L$200,4,FALSE),0)</f>
        <v>0</v>
      </c>
      <c r="AE11" s="26">
        <f>K11*IFERROR(VLOOKUP("Freight Road",'OpenLCA Factors'!$A$6:$L$200,5,FALSE),0)+L11*IFERROR(VLOOKUP("Freight Sea",'OpenLCA Factors'!$A$6:$L$200,5,FALSE),0)</f>
        <v>0</v>
      </c>
      <c r="AF11" s="26">
        <f>K11*IFERROR(VLOOKUP("Freight Road",'OpenLCA Factors'!$A$6:$L$200,6,FALSE),0)+L11*IFERROR(VLOOKUP("Freight Sea",'OpenLCA Factors'!$A$6:$L$200,6,FALSE),0)</f>
        <v>0</v>
      </c>
      <c r="AG11" s="26">
        <f>K11*IFERROR(VLOOKUP("Freight Road",'OpenLCA Factors'!$A$6:$L$200,7,FALSE),0)+L11*IFERROR(VLOOKUP("Freight Sea",'OpenLCA Factors'!$A$6:$L$200,7,FALSE),0)</f>
        <v>0</v>
      </c>
      <c r="AH11" s="26">
        <f>K11*IFERROR(VLOOKUP("Freight Road",'OpenLCA Factors'!$A$6:$L$200,8,FALSE),0)+L11*IFERROR(VLOOKUP("Freight Sea",'OpenLCA Factors'!$A$6:$L$200,8,FALSE),0)</f>
        <v>0</v>
      </c>
      <c r="AI11" s="26">
        <f>K11*IFERROR(VLOOKUP("Freight Road",'OpenLCA Factors'!$A$6:$L$200,9,FALSE),0)+L11*IFERROR(VLOOKUP("Freight Sea",'OpenLCA Factors'!$A$6:$L$200,9,FALSE),0)</f>
        <v>0</v>
      </c>
      <c r="AJ11" s="26">
        <f>K11*IFERROR(VLOOKUP("Freight Road",'OpenLCA Factors'!$A$6:$L$200,10,FALSE),0)+L11*IFERROR(VLOOKUP("Freight Sea",'OpenLCA Factors'!$A$6:$L$200,10,FALSE),0)</f>
        <v>0</v>
      </c>
      <c r="AK11" s="26">
        <f>K11*IFERROR(VLOOKUP("Freight Road",'OpenLCA Factors'!$A$6:$L$200,11,FALSE),0)+L11*IFERROR(VLOOKUP("Freight Sea",'OpenLCA Factors'!$A$6:$L$200,11,FALSE),0)</f>
        <v>0</v>
      </c>
      <c r="AL11" s="25">
        <f t="shared" si="2"/>
        <v>4857.3</v>
      </c>
      <c r="AM11" s="25">
        <f t="shared" si="2"/>
        <v>3058.2999999999997</v>
      </c>
      <c r="AN11" s="25">
        <f t="shared" si="2"/>
        <v>4.2405000000000008</v>
      </c>
      <c r="AO11" s="25">
        <f t="shared" si="2"/>
        <v>3.7264999999999997</v>
      </c>
      <c r="AP11" s="25">
        <f t="shared" si="2"/>
        <v>0.17476</v>
      </c>
      <c r="AQ11" s="25">
        <f t="shared" si="2"/>
        <v>3502.91</v>
      </c>
      <c r="AR11" s="25">
        <f t="shared" si="2"/>
        <v>11.565000000000001</v>
      </c>
      <c r="AS11" s="25">
        <f t="shared" si="2"/>
        <v>1472.61</v>
      </c>
      <c r="AT11" s="25">
        <f t="shared" si="3"/>
        <v>3400.11</v>
      </c>
      <c r="AU11" s="25">
        <f t="shared" si="4"/>
        <v>4857.3</v>
      </c>
      <c r="AV11" s="25">
        <f t="shared" si="5"/>
        <v>6314.4900000000007</v>
      </c>
    </row>
    <row r="13" spans="1:48" x14ac:dyDescent="0.75">
      <c r="A13" s="4" t="s">
        <v>120</v>
      </c>
      <c r="C13" s="25">
        <f t="shared" ref="C13:AV13" si="6">SUM(C6:C11)</f>
        <v>11000</v>
      </c>
      <c r="D13" s="25">
        <f t="shared" si="6"/>
        <v>7486.0999999999995</v>
      </c>
      <c r="E13" s="25">
        <f t="shared" si="6"/>
        <v>3168.2999999999997</v>
      </c>
      <c r="F13" s="25">
        <f t="shared" si="6"/>
        <v>154.5</v>
      </c>
      <c r="G13" s="25">
        <f t="shared" si="6"/>
        <v>191.09999999999997</v>
      </c>
      <c r="H13" s="25">
        <f t="shared" si="6"/>
        <v>781548.84</v>
      </c>
      <c r="I13" s="25">
        <f t="shared" si="6"/>
        <v>83691.999999999985</v>
      </c>
      <c r="J13" s="25">
        <f t="shared" si="6"/>
        <v>865240.84</v>
      </c>
      <c r="K13" s="25">
        <f t="shared" si="6"/>
        <v>2369.5500000000002</v>
      </c>
      <c r="L13" s="25">
        <f t="shared" si="6"/>
        <v>6886.7999999999993</v>
      </c>
      <c r="M13" s="20">
        <f t="shared" si="6"/>
        <v>0.91832114245907359</v>
      </c>
      <c r="N13" s="25">
        <f t="shared" si="6"/>
        <v>225505.69999999998</v>
      </c>
      <c r="O13" s="25">
        <f t="shared" si="6"/>
        <v>136592.19999999998</v>
      </c>
      <c r="P13" s="25">
        <f t="shared" si="6"/>
        <v>193.29850000000002</v>
      </c>
      <c r="Q13" s="25">
        <f t="shared" si="6"/>
        <v>271.44179999999994</v>
      </c>
      <c r="R13" s="25">
        <f t="shared" si="6"/>
        <v>10.568549999999997</v>
      </c>
      <c r="S13" s="25">
        <f t="shared" si="6"/>
        <v>69067.69</v>
      </c>
      <c r="T13" s="25">
        <f t="shared" si="6"/>
        <v>899.73500000000001</v>
      </c>
      <c r="U13" s="25">
        <f t="shared" si="6"/>
        <v>43358.06</v>
      </c>
      <c r="V13" s="25">
        <f t="shared" si="6"/>
        <v>0</v>
      </c>
      <c r="W13" s="25">
        <f t="shared" si="6"/>
        <v>0</v>
      </c>
      <c r="X13" s="25">
        <f t="shared" si="6"/>
        <v>0</v>
      </c>
      <c r="Y13" s="25">
        <f t="shared" si="6"/>
        <v>0</v>
      </c>
      <c r="Z13" s="25">
        <f t="shared" si="6"/>
        <v>0</v>
      </c>
      <c r="AA13" s="25">
        <f t="shared" si="6"/>
        <v>0</v>
      </c>
      <c r="AB13" s="25">
        <f t="shared" si="6"/>
        <v>0</v>
      </c>
      <c r="AC13" s="25">
        <f t="shared" si="6"/>
        <v>0</v>
      </c>
      <c r="AD13" s="25">
        <f t="shared" si="6"/>
        <v>0</v>
      </c>
      <c r="AE13" s="25">
        <f t="shared" si="6"/>
        <v>0</v>
      </c>
      <c r="AF13" s="25">
        <f t="shared" si="6"/>
        <v>0</v>
      </c>
      <c r="AG13" s="25">
        <f t="shared" si="6"/>
        <v>0</v>
      </c>
      <c r="AH13" s="25">
        <f t="shared" si="6"/>
        <v>0</v>
      </c>
      <c r="AI13" s="25">
        <f t="shared" si="6"/>
        <v>0</v>
      </c>
      <c r="AJ13" s="25">
        <f t="shared" si="6"/>
        <v>0</v>
      </c>
      <c r="AK13" s="25">
        <f t="shared" si="6"/>
        <v>0</v>
      </c>
      <c r="AL13" s="25">
        <f t="shared" si="6"/>
        <v>225505.69999999998</v>
      </c>
      <c r="AM13" s="25">
        <f t="shared" si="6"/>
        <v>136592.19999999998</v>
      </c>
      <c r="AN13" s="25">
        <f t="shared" si="6"/>
        <v>193.29850000000002</v>
      </c>
      <c r="AO13" s="25">
        <f t="shared" si="6"/>
        <v>271.44179999999994</v>
      </c>
      <c r="AP13" s="25">
        <f t="shared" si="6"/>
        <v>10.568549999999997</v>
      </c>
      <c r="AQ13" s="25">
        <f t="shared" si="6"/>
        <v>69067.69</v>
      </c>
      <c r="AR13" s="25">
        <f t="shared" si="6"/>
        <v>899.73500000000001</v>
      </c>
      <c r="AS13" s="25">
        <f t="shared" si="6"/>
        <v>43358.06</v>
      </c>
      <c r="AT13" s="25">
        <f t="shared" si="6"/>
        <v>203088.58187739461</v>
      </c>
      <c r="AU13" s="25">
        <f t="shared" si="6"/>
        <v>225505.69999999998</v>
      </c>
      <c r="AV13" s="25">
        <f t="shared" si="6"/>
        <v>247922.81812260533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1"/>
  <sheetViews>
    <sheetView showGridLines="0" workbookViewId="0">
      <selection activeCell="D14" sqref="D14"/>
    </sheetView>
  </sheetViews>
  <sheetFormatPr defaultRowHeight="14.75" x14ac:dyDescent="0.75"/>
  <cols>
    <col min="1" max="1" width="16" customWidth="1"/>
    <col min="2" max="3" width="14" customWidth="1"/>
    <col min="4" max="4" width="18" customWidth="1"/>
    <col min="5" max="5" width="16" customWidth="1"/>
    <col min="6" max="6" width="18" customWidth="1"/>
    <col min="7" max="7" width="17.04296875" customWidth="1"/>
    <col min="8" max="8" width="18" customWidth="1"/>
    <col min="9" max="11" width="12" customWidth="1"/>
    <col min="12" max="12" width="13.36328125" customWidth="1"/>
    <col min="13" max="14" width="12" customWidth="1"/>
    <col min="15" max="16" width="14" customWidth="1"/>
    <col min="17" max="17" width="15.1328125" customWidth="1"/>
    <col min="18" max="18" width="15.54296875" customWidth="1"/>
  </cols>
  <sheetData>
    <row r="1" spans="1:18" ht="18" x14ac:dyDescent="0.8">
      <c r="A1" s="28" t="s">
        <v>243</v>
      </c>
    </row>
    <row r="5" spans="1:18" ht="29.5" x14ac:dyDescent="0.75">
      <c r="A5" s="34" t="s">
        <v>416</v>
      </c>
      <c r="B5" s="11" t="s">
        <v>429</v>
      </c>
      <c r="C5" s="11" t="s">
        <v>430</v>
      </c>
      <c r="D5" s="11" t="s">
        <v>431</v>
      </c>
      <c r="E5" s="11" t="s">
        <v>432</v>
      </c>
      <c r="F5" s="11" t="s">
        <v>433</v>
      </c>
      <c r="G5" s="11" t="s">
        <v>140</v>
      </c>
      <c r="H5" s="11" t="s">
        <v>141</v>
      </c>
      <c r="I5" s="11" t="s">
        <v>142</v>
      </c>
      <c r="J5" s="11" t="s">
        <v>143</v>
      </c>
      <c r="K5" s="11" t="s">
        <v>144</v>
      </c>
      <c r="L5" s="11" t="s">
        <v>145</v>
      </c>
      <c r="M5" s="11" t="s">
        <v>428</v>
      </c>
      <c r="N5" s="11" t="s">
        <v>147</v>
      </c>
      <c r="O5" s="11" t="s">
        <v>434</v>
      </c>
      <c r="P5" s="11" t="s">
        <v>435</v>
      </c>
      <c r="Q5" s="11" t="s">
        <v>359</v>
      </c>
      <c r="R5" s="11" t="s">
        <v>361</v>
      </c>
    </row>
    <row r="6" spans="1:18" x14ac:dyDescent="0.75">
      <c r="A6" s="25" t="s">
        <v>82</v>
      </c>
      <c r="B6" s="26">
        <f>'Aircraft Input'!$B$12*(((1-'Aircraft Input'!$B$22)*('Aircraft Input'!$B$15/1000)*('Aircraft Input'!$B$18*'Aircraft Input'!$B$13))+('Aircraft Input'!$B$22*('Aircraft Input'!$B$16/1000)*('Aircraft Input'!$B$20*'Aircraft Input'!$B$14)))</f>
        <v>0.86255999999999999</v>
      </c>
      <c r="C6" s="25">
        <f>B6*3600</f>
        <v>3105.2159999999999</v>
      </c>
      <c r="D6" s="25">
        <f>C6*'Aircraft Input'!$B$9</f>
        <v>18631296</v>
      </c>
      <c r="E6" s="26">
        <f>IFERROR(D6/VLOOKUP("Jet-A1",'Fuel Scenarios'!$A$6:$U$20,2,FALSE),0)</f>
        <v>23289120</v>
      </c>
      <c r="F6" s="26">
        <f>E6*IFERROR(VLOOKUP($A6,'Fuel Scenarios'!$BC$6:$BK$9,2,FALSE),0)</f>
        <v>18631296</v>
      </c>
      <c r="G6" s="26">
        <f>E6*IFERROR(VLOOKUP($A6,'Fuel Scenarios'!$BC$6:$BK$9,3,FALSE),0)</f>
        <v>69681047.040000007</v>
      </c>
      <c r="H6" s="26">
        <f>E6*IFERROR(VLOOKUP($A6,'Fuel Scenarios'!$BC$6:$BK$9,4,FALSE),0)</f>
        <v>27015379.199999999</v>
      </c>
      <c r="I6" s="26">
        <f>E6*IFERROR(VLOOKUP($A6,'Fuel Scenarios'!$BC$6:$BK$9,5,FALSE),0)</f>
        <v>68935.795200000008</v>
      </c>
      <c r="J6" s="26">
        <f>E6*IFERROR(VLOOKUP($A6,'Fuel Scenarios'!$BC$6:$BK$9,6,FALSE),0)</f>
        <v>102472.12800000001</v>
      </c>
      <c r="K6" s="26">
        <f>E6*IFERROR(VLOOKUP($A6,'Fuel Scenarios'!$BC$6:$BK$9,7,FALSE),0)</f>
        <v>2422.0684800000004</v>
      </c>
      <c r="L6" s="26">
        <f>E6*IFERROR(VLOOKUP($A6,'Fuel Scenarios'!$BC$6:$BK$9,8,FALSE),0)</f>
        <v>14905036.800000003</v>
      </c>
      <c r="M6" s="26">
        <f>E6*IFERROR(VLOOKUP($A6,'Fuel Scenarios'!$BC$6:$BK$9,9,FALSE),0)</f>
        <v>55893.888000000006</v>
      </c>
      <c r="N6" s="26">
        <f>E6*IFERROR(VLOOKUP($A6,'Fuel Scenarios'!$BC$6:$BK$9,10,FALSE),0)</f>
        <v>0</v>
      </c>
      <c r="O6" s="26">
        <f>'Aircraft Input'!$B$12*(((1-'Aircraft Input'!$B$21)*('Aircraft Input'!$B$15/1000)*('Aircraft Input'!$B$17*'Aircraft Input'!$B$13))+('Aircraft Input'!$B$21*('Aircraft Input'!$B$16/1000)*('Aircraft Input'!$B$20*'Aircraft Input'!$B$14)))*3600</f>
        <v>1566.8639999999998</v>
      </c>
      <c r="P6" s="26">
        <f>'Aircraft Input'!$B$12*(((1-'Aircraft Input'!$B$23)*('Aircraft Input'!$B$15/1000)*('Aircraft Input'!$B$19*'Aircraft Input'!$B$13))+('Aircraft Input'!$B$23*('Aircraft Input'!$B$16/1000)*('Aircraft Input'!$B$20*'Aircraft Input'!$B$14)))*3600</f>
        <v>5832</v>
      </c>
      <c r="Q6" s="25">
        <f>IF(C6=0,0,G6*(O6/C6))</f>
        <v>35160428.160000004</v>
      </c>
      <c r="R6" s="25">
        <f>IF(C6=0,0,G6*(P6/C6))</f>
        <v>130870080.00000001</v>
      </c>
    </row>
    <row r="7" spans="1:18" x14ac:dyDescent="0.75">
      <c r="A7" s="25" t="s">
        <v>155</v>
      </c>
      <c r="B7" s="26">
        <f>'Aircraft Input'!$B$12*(((1-'Aircraft Input'!$B$22)*('Aircraft Input'!$B$15/1000)*('Aircraft Input'!$B$18*'Aircraft Input'!$B$13))+('Aircraft Input'!$B$22*('Aircraft Input'!$B$16/1000)*('Aircraft Input'!$B$20*'Aircraft Input'!$B$14)))</f>
        <v>0.86255999999999999</v>
      </c>
      <c r="C7" s="25">
        <f>B7*3600</f>
        <v>3105.2159999999999</v>
      </c>
      <c r="D7" s="25">
        <f>C7*'Aircraft Input'!$B$9</f>
        <v>18631296</v>
      </c>
      <c r="E7" s="26">
        <f>IFERROR(D7/VLOOKUP("Jet-A1",'Fuel Scenarios'!$A$6:$U$20,2,FALSE),0)</f>
        <v>23289120</v>
      </c>
      <c r="F7" s="26">
        <f>E7*IFERROR(VLOOKUP($A7,'Fuel Scenarios'!$BC$6:$BK$9,2,FALSE),0)</f>
        <v>18444983.039999999</v>
      </c>
      <c r="G7" s="26">
        <f>E7*IFERROR(VLOOKUP($A7,'Fuel Scenarios'!$BC$6:$BK$9,3,FALSE),0)</f>
        <v>48348213.120000005</v>
      </c>
      <c r="H7" s="26">
        <f>E7*IFERROR(VLOOKUP($A7,'Fuel Scenarios'!$BC$6:$BK$9,4,FALSE),0)</f>
        <v>17662468.607999999</v>
      </c>
      <c r="I7" s="26">
        <f>E7*IFERROR(VLOOKUP($A7,'Fuel Scenarios'!$BC$6:$BK$9,5,FALSE),0)</f>
        <v>48627.682560000001</v>
      </c>
      <c r="J7" s="26">
        <f>E7*IFERROR(VLOOKUP($A7,'Fuel Scenarios'!$BC$6:$BK$9,6,FALSE),0)</f>
        <v>73835.826047999988</v>
      </c>
      <c r="K7" s="26">
        <f>E7*IFERROR(VLOOKUP($A7,'Fuel Scenarios'!$BC$6:$BK$9,7,FALSE),0)</f>
        <v>1816.5513599999999</v>
      </c>
      <c r="L7" s="26">
        <f>E7*IFERROR(VLOOKUP($A7,'Fuel Scenarios'!$BC$6:$BK$9,8,FALSE),0)</f>
        <v>10904897.548800001</v>
      </c>
      <c r="M7" s="26">
        <f>E7*IFERROR(VLOOKUP($A7,'Fuel Scenarios'!$BC$6:$BK$9,9,FALSE),0)</f>
        <v>41529.158783999999</v>
      </c>
      <c r="N7" s="26">
        <f>E7*IFERROR(VLOOKUP($A7,'Fuel Scenarios'!$BC$6:$BK$9,10,FALSE),0)</f>
        <v>0</v>
      </c>
      <c r="O7" s="26">
        <f>'Aircraft Input'!$B$12*(((1-'Aircraft Input'!$B$21)*('Aircraft Input'!$B$15/1000)*('Aircraft Input'!$B$17*'Aircraft Input'!$B$13))+('Aircraft Input'!$B$21*('Aircraft Input'!$B$16/1000)*('Aircraft Input'!$B$20*'Aircraft Input'!$B$14)))*3600</f>
        <v>1566.8639999999998</v>
      </c>
      <c r="P7" s="26">
        <f>'Aircraft Input'!$B$12*(((1-'Aircraft Input'!$B$23)*('Aircraft Input'!$B$15/1000)*('Aircraft Input'!$B$19*'Aircraft Input'!$B$13))+('Aircraft Input'!$B$23*('Aircraft Input'!$B$16/1000)*('Aircraft Input'!$B$20*'Aircraft Input'!$B$14)))*3600</f>
        <v>5832</v>
      </c>
      <c r="Q7" s="25">
        <f>IF(C7=0,0,G7*(O7/C7))</f>
        <v>24396072.48</v>
      </c>
      <c r="R7" s="25">
        <f>IF(C7=0,0,G7*(P7/C7))</f>
        <v>90804240.000000015</v>
      </c>
    </row>
    <row r="8" spans="1:18" x14ac:dyDescent="0.75">
      <c r="A8" s="25" t="s">
        <v>159</v>
      </c>
      <c r="B8" s="26">
        <f>'Aircraft Input'!$B$12*(((1-'Aircraft Input'!$B$22)*('Aircraft Input'!$B$15/1000)*('Aircraft Input'!$B$18*'Aircraft Input'!$B$13))+('Aircraft Input'!$B$22*('Aircraft Input'!$B$16/1000)*('Aircraft Input'!$B$20*'Aircraft Input'!$B$14)))</f>
        <v>0.86255999999999999</v>
      </c>
      <c r="C8" s="25">
        <f>B8*3600</f>
        <v>3105.2159999999999</v>
      </c>
      <c r="D8" s="25">
        <f>C8*'Aircraft Input'!$B$9</f>
        <v>18631296</v>
      </c>
      <c r="E8" s="26">
        <f>IFERROR(D8/VLOOKUP("Jet-A1",'Fuel Scenarios'!$A$6:$U$20,2,FALSE),0)</f>
        <v>23289120</v>
      </c>
      <c r="F8" s="26">
        <f>E8*IFERROR(VLOOKUP($A8,'Fuel Scenarios'!$BC$6:$BK$9,2,FALSE),0)</f>
        <v>18165513.600000001</v>
      </c>
      <c r="G8" s="26">
        <f>E8*IFERROR(VLOOKUP($A8,'Fuel Scenarios'!$BC$6:$BK$9,3,FALSE),0)</f>
        <v>16348962.240000002</v>
      </c>
      <c r="H8" s="26">
        <f>E8*IFERROR(VLOOKUP($A8,'Fuel Scenarios'!$BC$6:$BK$9,4,FALSE),0)</f>
        <v>3633102.7200000007</v>
      </c>
      <c r="I8" s="26">
        <f>E8*IFERROR(VLOOKUP($A8,'Fuel Scenarios'!$BC$6:$BK$9,5,FALSE),0)</f>
        <v>18165.513600000002</v>
      </c>
      <c r="J8" s="26">
        <f>E8*IFERROR(VLOOKUP($A8,'Fuel Scenarios'!$BC$6:$BK$9,6,FALSE),0)</f>
        <v>30881.373120000004</v>
      </c>
      <c r="K8" s="26">
        <f>E8*IFERROR(VLOOKUP($A8,'Fuel Scenarios'!$BC$6:$BK$9,7,FALSE),0)</f>
        <v>908.27568000000019</v>
      </c>
      <c r="L8" s="26">
        <f>E8*IFERROR(VLOOKUP($A8,'Fuel Scenarios'!$BC$6:$BK$9,8,FALSE),0)</f>
        <v>4904688.6720000003</v>
      </c>
      <c r="M8" s="26">
        <f>E8*IFERROR(VLOOKUP($A8,'Fuel Scenarios'!$BC$6:$BK$9,9,FALSE),0)</f>
        <v>19982.06496</v>
      </c>
      <c r="N8" s="26">
        <f>E8*IFERROR(VLOOKUP($A8,'Fuel Scenarios'!$BC$6:$BK$9,10,FALSE),0)</f>
        <v>0</v>
      </c>
      <c r="O8" s="26">
        <f>'Aircraft Input'!$B$12*(((1-'Aircraft Input'!$B$21)*('Aircraft Input'!$B$15/1000)*('Aircraft Input'!$B$17*'Aircraft Input'!$B$13))+('Aircraft Input'!$B$21*('Aircraft Input'!$B$16/1000)*('Aircraft Input'!$B$20*'Aircraft Input'!$B$14)))*3600</f>
        <v>1566.8639999999998</v>
      </c>
      <c r="P8" s="26">
        <f>'Aircraft Input'!$B$12*(((1-'Aircraft Input'!$B$23)*('Aircraft Input'!$B$15/1000)*('Aircraft Input'!$B$19*'Aircraft Input'!$B$13))+('Aircraft Input'!$B$23*('Aircraft Input'!$B$16/1000)*('Aircraft Input'!$B$20*'Aircraft Input'!$B$14)))*3600</f>
        <v>5832</v>
      </c>
      <c r="Q8" s="25">
        <f>IF(C8=0,0,G8*(O8/C8))</f>
        <v>8249538.9600000009</v>
      </c>
      <c r="R8" s="25">
        <f>IF(C8=0,0,G8*(P8/C8))</f>
        <v>30705480.000000004</v>
      </c>
    </row>
    <row r="9" spans="1:18" x14ac:dyDescent="0.75">
      <c r="A9" s="25" t="s">
        <v>160</v>
      </c>
      <c r="B9" s="26">
        <f>'Aircraft Input'!$B$12*(((1-'Aircraft Input'!$B$22)*('Aircraft Input'!$B$15/1000)*('Aircraft Input'!$B$18*'Aircraft Input'!$B$13))+('Aircraft Input'!$B$22*('Aircraft Input'!$B$16/1000)*('Aircraft Input'!$B$20*'Aircraft Input'!$B$14)))</f>
        <v>0.86255999999999999</v>
      </c>
      <c r="C9" s="25">
        <f>B9*3600</f>
        <v>3105.2159999999999</v>
      </c>
      <c r="D9" s="25">
        <f>C9*'Aircraft Input'!$B$9</f>
        <v>18631296</v>
      </c>
      <c r="E9" s="26">
        <f>IFERROR(D9/VLOOKUP("Jet-A1",'Fuel Scenarios'!$A$6:$U$20,2,FALSE),0)</f>
        <v>23289120</v>
      </c>
      <c r="F9" s="26">
        <f>E9*IFERROR(VLOOKUP($A9,'Fuel Scenarios'!$BC$6:$BK$9,2,FALSE),0)</f>
        <v>18514850.400000002</v>
      </c>
      <c r="G9" s="26">
        <f>E9*IFERROR(VLOOKUP($A9,'Fuel Scenarios'!$BC$6:$BK$9,3,FALSE),0)</f>
        <v>48639327.119999997</v>
      </c>
      <c r="H9" s="26">
        <f>E9*IFERROR(VLOOKUP($A9,'Fuel Scenarios'!$BC$6:$BK$9,4,FALSE),0)</f>
        <v>17647330.68</v>
      </c>
      <c r="I9" s="26">
        <f>E9*IFERROR(VLOOKUP($A9,'Fuel Scenarios'!$BC$6:$BK$9,5,FALSE),0)</f>
        <v>48266.701200000003</v>
      </c>
      <c r="J9" s="26">
        <f>E9*IFERROR(VLOOKUP($A9,'Fuel Scenarios'!$BC$6:$BK$9,6,FALSE),0)</f>
        <v>72394.229520000008</v>
      </c>
      <c r="K9" s="26">
        <f>E9*IFERROR(VLOOKUP($A9,'Fuel Scenarios'!$BC$6:$BK$9,7,FALSE),0)</f>
        <v>1854.9784080000002</v>
      </c>
      <c r="L9" s="26">
        <f>E9*IFERROR(VLOOKUP($A9,'Fuel Scenarios'!$BC$6:$BK$9,8,FALSE),0)</f>
        <v>10488255.192000002</v>
      </c>
      <c r="M9" s="26">
        <f>E9*IFERROR(VLOOKUP($A9,'Fuel Scenarios'!$BC$6:$BK$9,9,FALSE),0)</f>
        <v>60144.152400000006</v>
      </c>
      <c r="N9" s="26">
        <f>E9*IFERROR(VLOOKUP($A9,'Fuel Scenarios'!$BC$6:$BK$9,10,FALSE),0)</f>
        <v>0</v>
      </c>
      <c r="O9" s="26">
        <f>'Aircraft Input'!$B$12*(((1-'Aircraft Input'!$B$21)*('Aircraft Input'!$B$15/1000)*('Aircraft Input'!$B$17*'Aircraft Input'!$B$13))+('Aircraft Input'!$B$21*('Aircraft Input'!$B$16/1000)*('Aircraft Input'!$B$20*'Aircraft Input'!$B$14)))*3600</f>
        <v>1566.8639999999998</v>
      </c>
      <c r="P9" s="26">
        <f>'Aircraft Input'!$B$12*(((1-'Aircraft Input'!$B$23)*('Aircraft Input'!$B$15/1000)*('Aircraft Input'!$B$19*'Aircraft Input'!$B$13))+('Aircraft Input'!$B$23*('Aircraft Input'!$B$16/1000)*('Aircraft Input'!$B$20*'Aircraft Input'!$B$14)))*3600</f>
        <v>5832</v>
      </c>
      <c r="Q9" s="25">
        <f>IF(C9=0,0,G9*(O9/C9))</f>
        <v>24542965.979999997</v>
      </c>
      <c r="R9" s="25">
        <f>IF(C9=0,0,G9*(P9/C9))</f>
        <v>91350990</v>
      </c>
    </row>
    <row r="11" spans="1:18" x14ac:dyDescent="0.75">
      <c r="A11" s="4" t="s">
        <v>244</v>
      </c>
      <c r="B11" s="12" t="str">
        <f>'Aircraft Input'!$B$27</f>
        <v>JetA1_100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5"/>
  <sheetViews>
    <sheetView showGridLines="0" topLeftCell="I1" workbookViewId="0">
      <selection activeCell="M16" sqref="M16"/>
    </sheetView>
  </sheetViews>
  <sheetFormatPr defaultRowHeight="14.75" x14ac:dyDescent="0.75"/>
  <cols>
    <col min="1" max="1" width="18" customWidth="1"/>
    <col min="2" max="2" width="16" customWidth="1"/>
    <col min="3" max="4" width="12" customWidth="1"/>
    <col min="5" max="5" width="13" customWidth="1"/>
    <col min="6" max="6" width="15" customWidth="1"/>
    <col min="7" max="7" width="12" customWidth="1"/>
    <col min="8" max="10" width="14" customWidth="1"/>
    <col min="11" max="11" width="16" customWidth="1"/>
    <col min="12" max="12" width="14" customWidth="1"/>
    <col min="13" max="13" width="16" customWidth="1"/>
    <col min="14" max="15" width="20" customWidth="1"/>
    <col min="16" max="16" width="18" customWidth="1"/>
    <col min="17" max="27" width="12" customWidth="1"/>
  </cols>
  <sheetData>
    <row r="1" spans="1:27" ht="18.5" x14ac:dyDescent="0.9">
      <c r="A1" s="1" t="s">
        <v>245</v>
      </c>
    </row>
    <row r="5" spans="1:27" ht="29.5" x14ac:dyDescent="0.75">
      <c r="A5" s="11" t="s">
        <v>121</v>
      </c>
      <c r="B5" s="11" t="s">
        <v>436</v>
      </c>
      <c r="C5" s="11" t="s">
        <v>240</v>
      </c>
      <c r="D5" s="11" t="s">
        <v>437</v>
      </c>
      <c r="E5" s="11" t="s">
        <v>438</v>
      </c>
      <c r="F5" s="11" t="s">
        <v>439</v>
      </c>
      <c r="G5" s="11" t="s">
        <v>440</v>
      </c>
      <c r="H5" s="11" t="s">
        <v>441</v>
      </c>
      <c r="I5" s="11" t="s">
        <v>442</v>
      </c>
      <c r="J5" s="11" t="s">
        <v>443</v>
      </c>
      <c r="K5" s="11" t="s">
        <v>444</v>
      </c>
      <c r="L5" s="11" t="s">
        <v>445</v>
      </c>
      <c r="M5" s="11" t="s">
        <v>446</v>
      </c>
      <c r="N5" s="11" t="s">
        <v>447</v>
      </c>
      <c r="O5" s="11" t="s">
        <v>448</v>
      </c>
      <c r="P5" s="11" t="s">
        <v>449</v>
      </c>
      <c r="Q5" s="11" t="s">
        <v>140</v>
      </c>
      <c r="R5" s="11" t="s">
        <v>141</v>
      </c>
      <c r="S5" s="11" t="s">
        <v>142</v>
      </c>
      <c r="T5" s="11" t="s">
        <v>143</v>
      </c>
      <c r="U5" s="11" t="s">
        <v>144</v>
      </c>
      <c r="V5" s="11" t="s">
        <v>145</v>
      </c>
      <c r="W5" s="11" t="s">
        <v>428</v>
      </c>
      <c r="X5" s="11" t="s">
        <v>147</v>
      </c>
      <c r="Y5" s="11" t="s">
        <v>359</v>
      </c>
      <c r="Z5" s="11" t="s">
        <v>360</v>
      </c>
      <c r="AA5" s="11" t="s">
        <v>361</v>
      </c>
    </row>
    <row r="6" spans="1:27" x14ac:dyDescent="0.75">
      <c r="A6" s="7" t="s">
        <v>123</v>
      </c>
      <c r="B6" s="25">
        <f>SUMIF('Calc Materials'!$B$6:$B$53,A6,'Calc Materials'!$F$6:$F$53)</f>
        <v>6651.0999999999995</v>
      </c>
      <c r="C6" s="20">
        <f>IF(B6=0,0,SUMIF('Calc Materials'!$B$6:$B$53,A6,'Calc Materials'!$I$6:$I$53)/B6)</f>
        <v>8.6053434770188397E-2</v>
      </c>
      <c r="D6" s="14">
        <v>0</v>
      </c>
      <c r="E6" s="14">
        <v>0</v>
      </c>
      <c r="F6" s="14">
        <v>0.5</v>
      </c>
      <c r="G6" s="14">
        <v>0.5</v>
      </c>
      <c r="H6" s="25">
        <f t="shared" ref="H6:H13" si="0">B6*D6</f>
        <v>0</v>
      </c>
      <c r="I6" s="25">
        <f t="shared" ref="I6:I13" si="1">B6-H6</f>
        <v>6651.0999999999995</v>
      </c>
      <c r="J6" s="25">
        <f t="shared" ref="J6:J13" si="2">I6*E6</f>
        <v>0</v>
      </c>
      <c r="K6" s="25">
        <f t="shared" ref="K6:K13" si="3">I6*F6</f>
        <v>3325.5499999999997</v>
      </c>
      <c r="L6" s="25">
        <f t="shared" ref="L6:L13" si="4">I6*G6</f>
        <v>3325.5499999999997</v>
      </c>
      <c r="M6" s="25">
        <f t="shared" ref="M6:M13" si="5">J6*0.04</f>
        <v>0</v>
      </c>
      <c r="N6" s="7" t="str">
        <f t="shared" ref="N6:N13" si="6">"EOL_Recycle_"&amp;A6</f>
        <v>EOL_Recycle_CFRP</v>
      </c>
      <c r="O6" t="str">
        <f t="shared" ref="O6:O13" si="7">"EOL_Incinerate_"&amp;A6</f>
        <v>EOL_Incinerate_CFRP</v>
      </c>
      <c r="P6" s="7" t="str">
        <f t="shared" ref="P6:P13" si="8">"EOL_Landfill_"&amp;A6</f>
        <v>EOL_Landfill_CFRP</v>
      </c>
      <c r="Q6" s="25">
        <f>J6*IFERROR(VLOOKUP($N6,'OpenLCA Factors'!$A$6:$L$200,4,FALSE),0)+K6*IFERROR(VLOOKUP($O6,'OpenLCA Factors'!$A$6:$L$200,4,FALSE),0)+L6*IFERROR(VLOOKUP($P6,'OpenLCA Factors'!$A$6:$L$200,4,FALSE),0)+M6*IFERROR(VLOOKUP("Energy_Electricity",'OpenLCA Factors'!$A$6:$L$200,4,FALSE),0)</f>
        <v>6318.5450000000001</v>
      </c>
      <c r="R6" s="25">
        <f>J6*IFERROR(VLOOKUP($N6,'OpenLCA Factors'!$A$6:$L$200,5,FALSE),0)+K6*IFERROR(VLOOKUP($O6,'OpenLCA Factors'!$A$6:$L$200,5,FALSE),0)+L6*IFERROR(VLOOKUP($P6,'OpenLCA Factors'!$A$6:$L$200,5,FALSE),0)+M6*IFERROR(VLOOKUP("Energy_Electricity",'OpenLCA Factors'!$A$6:$L$200,5,FALSE),0)</f>
        <v>1662.7750000000001</v>
      </c>
      <c r="S6" s="25">
        <f>J6*IFERROR(VLOOKUP($N6,'OpenLCA Factors'!$A$6:$L$200,6,FALSE),0)+K6*IFERROR(VLOOKUP($O6,'OpenLCA Factors'!$A$6:$L$200,6,FALSE),0)+L6*IFERROR(VLOOKUP($P6,'OpenLCA Factors'!$A$6:$L$200,6,FALSE),0)+M6*IFERROR(VLOOKUP("Energy_Electricity",'OpenLCA Factors'!$A$6:$L$200,6,FALSE),0)</f>
        <v>1.9953299999999998</v>
      </c>
      <c r="T6" s="25">
        <f>J6*IFERROR(VLOOKUP($N6,'OpenLCA Factors'!$A$6:$L$200,7,FALSE),0)+K6*IFERROR(VLOOKUP($O6,'OpenLCA Factors'!$A$6:$L$200,7,FALSE),0)+L6*IFERROR(VLOOKUP($P6,'OpenLCA Factors'!$A$6:$L$200,7,FALSE),0)+M6*IFERROR(VLOOKUP("Energy_Electricity",'OpenLCA Factors'!$A$6:$L$200,7,FALSE),0)</f>
        <v>3.3255499999999998</v>
      </c>
      <c r="U6" s="25">
        <f>J6*IFERROR(VLOOKUP($N6,'OpenLCA Factors'!$A$6:$L$200,8,FALSE),0)+K6*IFERROR(VLOOKUP($O6,'OpenLCA Factors'!$A$6:$L$200,8,FALSE),0)+L6*IFERROR(VLOOKUP($P6,'OpenLCA Factors'!$A$6:$L$200,8,FALSE),0)+M6*IFERROR(VLOOKUP("Energy_Electricity",'OpenLCA Factors'!$A$6:$L$200,8,FALSE),0)</f>
        <v>9.9766500000000008E-2</v>
      </c>
      <c r="V6" s="25">
        <f>J6*IFERROR(VLOOKUP($N6,'OpenLCA Factors'!$A$6:$L$200,9,FALSE),0)+K6*IFERROR(VLOOKUP($O6,'OpenLCA Factors'!$A$6:$L$200,9,FALSE),0)+L6*IFERROR(VLOOKUP($P6,'OpenLCA Factors'!$A$6:$L$200,9,FALSE),0)+M6*IFERROR(VLOOKUP("Energy_Electricity",'OpenLCA Factors'!$A$6:$L$200,9,FALSE),0)</f>
        <v>931.154</v>
      </c>
      <c r="W6" s="25">
        <f>J6*IFERROR(VLOOKUP($N6,'OpenLCA Factors'!$A$6:$L$200,10,FALSE),0)+K6*IFERROR(VLOOKUP($O6,'OpenLCA Factors'!$A$6:$L$200,10,FALSE),0)+L6*IFERROR(VLOOKUP($P6,'OpenLCA Factors'!$A$6:$L$200,10,FALSE),0)+M6*IFERROR(VLOOKUP("Energy_Electricity",'OpenLCA Factors'!$A$6:$L$200,10,FALSE),0)</f>
        <v>0</v>
      </c>
      <c r="X6" s="25">
        <f>J6*IFERROR(VLOOKUP($N6,'OpenLCA Factors'!$A$6:$L$200,11,FALSE),0)+K6*IFERROR(VLOOKUP($O6,'OpenLCA Factors'!$A$6:$L$200,11,FALSE),0)+L6*IFERROR(VLOOKUP($P6,'OpenLCA Factors'!$A$6:$L$200,11,FALSE),0)+M6*IFERROR(VLOOKUP("Energy_Electricity",'OpenLCA Factors'!$A$6:$L$200,11,FALSE),0)</f>
        <v>266.04399999999998</v>
      </c>
      <c r="Y6" s="25">
        <f t="shared" ref="Y6:Y13" si="9">Q6*(1-C6)</f>
        <v>5774.8125</v>
      </c>
      <c r="Z6" s="25">
        <f t="shared" ref="Z6:Z13" si="10">Q6</f>
        <v>6318.5450000000001</v>
      </c>
      <c r="AA6" s="25">
        <f t="shared" ref="AA6:AA13" si="11">Q6*(1+C6)</f>
        <v>6862.2775000000001</v>
      </c>
    </row>
    <row r="7" spans="1:27" x14ac:dyDescent="0.75">
      <c r="A7" s="7" t="s">
        <v>126</v>
      </c>
      <c r="B7" s="25">
        <f>SUMIF('Calc Materials'!$B$6:$B$53,A7,'Calc Materials'!$F$6:$F$53)</f>
        <v>835</v>
      </c>
      <c r="C7" s="20">
        <f>IF(B7=0,0,SUMIF('Calc Materials'!$B$6:$B$53,A7,'Calc Materials'!$I$6:$I$53)/B7)</f>
        <v>0.10802395209580841</v>
      </c>
      <c r="D7" s="14">
        <v>0</v>
      </c>
      <c r="E7" s="14">
        <v>0</v>
      </c>
      <c r="F7" s="14">
        <v>0.5</v>
      </c>
      <c r="G7" s="14">
        <v>0.5</v>
      </c>
      <c r="H7" s="25">
        <f t="shared" si="0"/>
        <v>0</v>
      </c>
      <c r="I7" s="25">
        <f t="shared" si="1"/>
        <v>835</v>
      </c>
      <c r="J7" s="25">
        <f t="shared" si="2"/>
        <v>0</v>
      </c>
      <c r="K7" s="25">
        <f t="shared" si="3"/>
        <v>417.5</v>
      </c>
      <c r="L7" s="25">
        <f t="shared" si="4"/>
        <v>417.5</v>
      </c>
      <c r="M7" s="25">
        <f t="shared" si="5"/>
        <v>0</v>
      </c>
      <c r="N7" s="7" t="str">
        <f t="shared" si="6"/>
        <v>EOL_Recycle_GFRP</v>
      </c>
      <c r="O7" t="str">
        <f t="shared" si="7"/>
        <v>EOL_Incinerate_GFRP</v>
      </c>
      <c r="P7" s="7" t="str">
        <f t="shared" si="8"/>
        <v>EOL_Landfill_GFRP</v>
      </c>
      <c r="Q7" s="25">
        <f>J7*IFERROR(VLOOKUP($N7,'OpenLCA Factors'!$A$6:$L$200,4,FALSE),0)+K7*IFERROR(VLOOKUP($O7,'OpenLCA Factors'!$A$6:$L$200,4,FALSE),0)+L7*IFERROR(VLOOKUP($P7,'OpenLCA Factors'!$A$6:$L$200,4,FALSE),0)+M7*IFERROR(VLOOKUP("Energy_Electricity",'OpenLCA Factors'!$A$6:$L$200,4,FALSE),0)</f>
        <v>793.25</v>
      </c>
      <c r="R7" s="25">
        <f>J7*IFERROR(VLOOKUP($N7,'OpenLCA Factors'!$A$6:$L$200,5,FALSE),0)+K7*IFERROR(VLOOKUP($O7,'OpenLCA Factors'!$A$6:$L$200,5,FALSE),0)+L7*IFERROR(VLOOKUP($P7,'OpenLCA Factors'!$A$6:$L$200,5,FALSE),0)+M7*IFERROR(VLOOKUP("Energy_Electricity",'OpenLCA Factors'!$A$6:$L$200,5,FALSE),0)</f>
        <v>208.75</v>
      </c>
      <c r="S7" s="25">
        <f>J7*IFERROR(VLOOKUP($N7,'OpenLCA Factors'!$A$6:$L$200,6,FALSE),0)+K7*IFERROR(VLOOKUP($O7,'OpenLCA Factors'!$A$6:$L$200,6,FALSE),0)+L7*IFERROR(VLOOKUP($P7,'OpenLCA Factors'!$A$6:$L$200,6,FALSE),0)+M7*IFERROR(VLOOKUP("Energy_Electricity",'OpenLCA Factors'!$A$6:$L$200,6,FALSE),0)</f>
        <v>0.2505</v>
      </c>
      <c r="T7" s="25">
        <f>J7*IFERROR(VLOOKUP($N7,'OpenLCA Factors'!$A$6:$L$200,7,FALSE),0)+K7*IFERROR(VLOOKUP($O7,'OpenLCA Factors'!$A$6:$L$200,7,FALSE),0)+L7*IFERROR(VLOOKUP($P7,'OpenLCA Factors'!$A$6:$L$200,7,FALSE),0)+M7*IFERROR(VLOOKUP("Energy_Electricity",'OpenLCA Factors'!$A$6:$L$200,7,FALSE),0)</f>
        <v>0.41750000000000004</v>
      </c>
      <c r="U7" s="25">
        <f>J7*IFERROR(VLOOKUP($N7,'OpenLCA Factors'!$A$6:$L$200,8,FALSE),0)+K7*IFERROR(VLOOKUP($O7,'OpenLCA Factors'!$A$6:$L$200,8,FALSE),0)+L7*IFERROR(VLOOKUP($P7,'OpenLCA Factors'!$A$6:$L$200,8,FALSE),0)+M7*IFERROR(VLOOKUP("Energy_Electricity",'OpenLCA Factors'!$A$6:$L$200,8,FALSE),0)</f>
        <v>1.2525000000000001E-2</v>
      </c>
      <c r="V7" s="25">
        <f>J7*IFERROR(VLOOKUP($N7,'OpenLCA Factors'!$A$6:$L$200,9,FALSE),0)+K7*IFERROR(VLOOKUP($O7,'OpenLCA Factors'!$A$6:$L$200,9,FALSE),0)+L7*IFERROR(VLOOKUP($P7,'OpenLCA Factors'!$A$6:$L$200,9,FALSE),0)+M7*IFERROR(VLOOKUP("Energy_Electricity",'OpenLCA Factors'!$A$6:$L$200,9,FALSE),0)</f>
        <v>116.9</v>
      </c>
      <c r="W7" s="25">
        <f>J7*IFERROR(VLOOKUP($N7,'OpenLCA Factors'!$A$6:$L$200,10,FALSE),0)+K7*IFERROR(VLOOKUP($O7,'OpenLCA Factors'!$A$6:$L$200,10,FALSE),0)+L7*IFERROR(VLOOKUP($P7,'OpenLCA Factors'!$A$6:$L$200,10,FALSE),0)+M7*IFERROR(VLOOKUP("Energy_Electricity",'OpenLCA Factors'!$A$6:$L$200,10,FALSE),0)</f>
        <v>0</v>
      </c>
      <c r="X7" s="25">
        <f>J7*IFERROR(VLOOKUP($N7,'OpenLCA Factors'!$A$6:$L$200,11,FALSE),0)+K7*IFERROR(VLOOKUP($O7,'OpenLCA Factors'!$A$6:$L$200,11,FALSE),0)+L7*IFERROR(VLOOKUP($P7,'OpenLCA Factors'!$A$6:$L$200,11,FALSE),0)+M7*IFERROR(VLOOKUP("Energy_Electricity",'OpenLCA Factors'!$A$6:$L$200,11,FALSE),0)</f>
        <v>33.4</v>
      </c>
      <c r="Y7" s="25">
        <f t="shared" si="9"/>
        <v>707.56</v>
      </c>
      <c r="Z7" s="25">
        <f t="shared" si="10"/>
        <v>793.25</v>
      </c>
      <c r="AA7" s="25">
        <f t="shared" si="11"/>
        <v>878.94</v>
      </c>
    </row>
    <row r="8" spans="1:27" x14ac:dyDescent="0.75">
      <c r="A8" s="7" t="s">
        <v>127</v>
      </c>
      <c r="B8" s="25">
        <f>SUMIF('Calc Materials'!$B$6:$B$53,A8,'Calc Materials'!$F$6:$F$53)</f>
        <v>1681.8999999999999</v>
      </c>
      <c r="C8" s="20">
        <f>IF(B8=0,0,SUMIF('Calc Materials'!$B$6:$B$53,A8,'Calc Materials'!$I$6:$I$53)/B8)</f>
        <v>0.10445924252333672</v>
      </c>
      <c r="D8" s="14">
        <v>0</v>
      </c>
      <c r="E8" s="14">
        <v>0.75</v>
      </c>
      <c r="F8" s="14">
        <v>0</v>
      </c>
      <c r="G8" s="14">
        <v>0.25</v>
      </c>
      <c r="H8" s="25">
        <f t="shared" si="0"/>
        <v>0</v>
      </c>
      <c r="I8" s="25">
        <f t="shared" si="1"/>
        <v>1681.8999999999999</v>
      </c>
      <c r="J8" s="25">
        <f t="shared" si="2"/>
        <v>1261.425</v>
      </c>
      <c r="K8" s="25">
        <f t="shared" si="3"/>
        <v>0</v>
      </c>
      <c r="L8" s="25">
        <f t="shared" si="4"/>
        <v>420.47499999999997</v>
      </c>
      <c r="M8" s="25">
        <f t="shared" si="5"/>
        <v>50.457000000000001</v>
      </c>
      <c r="N8" s="7" t="str">
        <f t="shared" si="6"/>
        <v>EOL_Recycle_Titanium</v>
      </c>
      <c r="O8" t="str">
        <f t="shared" si="7"/>
        <v>EOL_Incinerate_Titanium</v>
      </c>
      <c r="P8" s="7" t="str">
        <f t="shared" si="8"/>
        <v>EOL_Landfill_Titanium</v>
      </c>
      <c r="Q8" s="25">
        <f>J8*IFERROR(VLOOKUP($N8,'OpenLCA Factors'!$A$6:$L$200,4,FALSE),0)+K8*IFERROR(VLOOKUP($O8,'OpenLCA Factors'!$A$6:$L$200,4,FALSE),0)+L8*IFERROR(VLOOKUP($P8,'OpenLCA Factors'!$A$6:$L$200,4,FALSE),0)+M8*IFERROR(VLOOKUP("Energy_Electricity",'OpenLCA Factors'!$A$6:$L$200,4,FALSE),0)</f>
        <v>-3697.1525799999999</v>
      </c>
      <c r="R8" s="25">
        <f>J8*IFERROR(VLOOKUP($N8,'OpenLCA Factors'!$A$6:$L$200,5,FALSE),0)+K8*IFERROR(VLOOKUP($O8,'OpenLCA Factors'!$A$6:$L$200,5,FALSE),0)+L8*IFERROR(VLOOKUP($P8,'OpenLCA Factors'!$A$6:$L$200,5,FALSE),0)+M8*IFERROR(VLOOKUP("Energy_Electricity",'OpenLCA Factors'!$A$6:$L$200,5,FALSE),0)</f>
        <v>-2479.2887899999996</v>
      </c>
      <c r="S8" s="25">
        <f>J8*IFERROR(VLOOKUP($N8,'OpenLCA Factors'!$A$6:$L$200,6,FALSE),0)+K8*IFERROR(VLOOKUP($O8,'OpenLCA Factors'!$A$6:$L$200,6,FALSE),0)+L8*IFERROR(VLOOKUP($P8,'OpenLCA Factors'!$A$6:$L$200,6,FALSE),0)+M8*IFERROR(VLOOKUP("Energy_Electricity",'OpenLCA Factors'!$A$6:$L$200,6,FALSE),0)</f>
        <v>-2.4777750800000002</v>
      </c>
      <c r="T8" s="25">
        <f>J8*IFERROR(VLOOKUP($N8,'OpenLCA Factors'!$A$6:$L$200,7,FALSE),0)+K8*IFERROR(VLOOKUP($O8,'OpenLCA Factors'!$A$6:$L$200,7,FALSE),0)+L8*IFERROR(VLOOKUP($P8,'OpenLCA Factors'!$A$6:$L$200,7,FALSE),0)+M8*IFERROR(VLOOKUP("Energy_Electricity",'OpenLCA Factors'!$A$6:$L$200,7,FALSE),0)</f>
        <v>-3.6961434400000002</v>
      </c>
      <c r="U8" s="25">
        <f>J8*IFERROR(VLOOKUP($N8,'OpenLCA Factors'!$A$6:$L$200,8,FALSE),0)+K8*IFERROR(VLOOKUP($O8,'OpenLCA Factors'!$A$6:$L$200,8,FALSE),0)+L8*IFERROR(VLOOKUP($P8,'OpenLCA Factors'!$A$6:$L$200,8,FALSE),0)+M8*IFERROR(VLOOKUP("Energy_Electricity",'OpenLCA Factors'!$A$6:$L$200,8,FALSE),0)</f>
        <v>-0.12168546499999998</v>
      </c>
      <c r="V8" s="25">
        <f>J8*IFERROR(VLOOKUP($N8,'OpenLCA Factors'!$A$6:$L$200,9,FALSE),0)+K8*IFERROR(VLOOKUP($O8,'OpenLCA Factors'!$A$6:$L$200,9,FALSE),0)+L8*IFERROR(VLOOKUP($P8,'OpenLCA Factors'!$A$6:$L$200,9,FALSE),0)+M8*IFERROR(VLOOKUP("Energy_Electricity",'OpenLCA Factors'!$A$6:$L$200,9,FALSE),0)</f>
        <v>-987.10711000000003</v>
      </c>
      <c r="W8" s="25">
        <f>J8*IFERROR(VLOOKUP($N8,'OpenLCA Factors'!$A$6:$L$200,10,FALSE),0)+K8*IFERROR(VLOOKUP($O8,'OpenLCA Factors'!$A$6:$L$200,10,FALSE),0)+L8*IFERROR(VLOOKUP($P8,'OpenLCA Factors'!$A$6:$L$200,10,FALSE),0)+M8*IFERROR(VLOOKUP("Energy_Electricity",'OpenLCA Factors'!$A$6:$L$200,10,FALSE),0)</f>
        <v>-12.589021499999999</v>
      </c>
      <c r="X8" s="25">
        <f>J8*IFERROR(VLOOKUP($N8,'OpenLCA Factors'!$A$6:$L$200,11,FALSE),0)+K8*IFERROR(VLOOKUP($O8,'OpenLCA Factors'!$A$6:$L$200,11,FALSE),0)+L8*IFERROR(VLOOKUP($P8,'OpenLCA Factors'!$A$6:$L$200,11,FALSE),0)+M8*IFERROR(VLOOKUP("Energy_Electricity",'OpenLCA Factors'!$A$6:$L$200,11,FALSE),0)</f>
        <v>-621.79843000000005</v>
      </c>
      <c r="Y8" s="25">
        <f t="shared" si="9"/>
        <v>-3310.9508219999998</v>
      </c>
      <c r="Z8" s="25">
        <f t="shared" si="10"/>
        <v>-3697.1525799999999</v>
      </c>
      <c r="AA8" s="25">
        <f t="shared" si="11"/>
        <v>-4083.3543380000006</v>
      </c>
    </row>
    <row r="9" spans="1:27" x14ac:dyDescent="0.75">
      <c r="A9" s="7" t="s">
        <v>129</v>
      </c>
      <c r="B9" s="25">
        <f>SUMIF('Calc Materials'!$B$6:$B$53,A9,'Calc Materials'!$F$6:$F$53)</f>
        <v>730.59999999999991</v>
      </c>
      <c r="C9" s="20">
        <f>IF(B9=0,0,SUMIF('Calc Materials'!$B$6:$B$53,A9,'Calc Materials'!$I$6:$I$53)/B9)</f>
        <v>9.9999999999999992E-2</v>
      </c>
      <c r="D9" s="14">
        <v>0</v>
      </c>
      <c r="E9" s="14">
        <v>0.75</v>
      </c>
      <c r="F9" s="14">
        <v>0</v>
      </c>
      <c r="G9" s="14">
        <v>0.25</v>
      </c>
      <c r="H9" s="25">
        <f t="shared" si="0"/>
        <v>0</v>
      </c>
      <c r="I9" s="25">
        <f t="shared" si="1"/>
        <v>730.59999999999991</v>
      </c>
      <c r="J9" s="25">
        <f t="shared" si="2"/>
        <v>547.94999999999993</v>
      </c>
      <c r="K9" s="25">
        <f t="shared" si="3"/>
        <v>0</v>
      </c>
      <c r="L9" s="25">
        <f t="shared" si="4"/>
        <v>182.64999999999998</v>
      </c>
      <c r="M9" s="25">
        <f t="shared" si="5"/>
        <v>21.917999999999999</v>
      </c>
      <c r="N9" s="7" t="str">
        <f t="shared" si="6"/>
        <v>EOL_Recycle_NickelSuperalloy</v>
      </c>
      <c r="O9" t="str">
        <f t="shared" si="7"/>
        <v>EOL_Incinerate_NickelSuperalloy</v>
      </c>
      <c r="P9" s="7" t="str">
        <f t="shared" si="8"/>
        <v>EOL_Landfill_NickelSuperalloy</v>
      </c>
      <c r="Q9" s="25">
        <f>J9*IFERROR(VLOOKUP($N9,'OpenLCA Factors'!$A$6:$L$200,4,FALSE),0)+K9*IFERROR(VLOOKUP($O9,'OpenLCA Factors'!$A$6:$L$200,4,FALSE),0)+L9*IFERROR(VLOOKUP($P9,'OpenLCA Factors'!$A$6:$L$200,4,FALSE),0)+M9*IFERROR(VLOOKUP("Energy_Electricity",'OpenLCA Factors'!$A$6:$L$200,4,FALSE),0)</f>
        <v>-1606.0049199999999</v>
      </c>
      <c r="R9" s="25">
        <f>J9*IFERROR(VLOOKUP($N9,'OpenLCA Factors'!$A$6:$L$200,5,FALSE),0)+K9*IFERROR(VLOOKUP($O9,'OpenLCA Factors'!$A$6:$L$200,5,FALSE),0)+L9*IFERROR(VLOOKUP($P9,'OpenLCA Factors'!$A$6:$L$200,5,FALSE),0)+M9*IFERROR(VLOOKUP("Energy_Electricity",'OpenLCA Factors'!$A$6:$L$200,5,FALSE),0)</f>
        <v>-1076.9774599999998</v>
      </c>
      <c r="S9" s="25">
        <f>J9*IFERROR(VLOOKUP($N9,'OpenLCA Factors'!$A$6:$L$200,6,FALSE),0)+K9*IFERROR(VLOOKUP($O9,'OpenLCA Factors'!$A$6:$L$200,6,FALSE),0)+L9*IFERROR(VLOOKUP($P9,'OpenLCA Factors'!$A$6:$L$200,6,FALSE),0)+M9*IFERROR(VLOOKUP("Energy_Electricity",'OpenLCA Factors'!$A$6:$L$200,6,FALSE),0)</f>
        <v>-1.07631992</v>
      </c>
      <c r="T9" s="25">
        <f>J9*IFERROR(VLOOKUP($N9,'OpenLCA Factors'!$A$6:$L$200,7,FALSE),0)+K9*IFERROR(VLOOKUP($O9,'OpenLCA Factors'!$A$6:$L$200,7,FALSE),0)+L9*IFERROR(VLOOKUP($P9,'OpenLCA Factors'!$A$6:$L$200,7,FALSE),0)+M9*IFERROR(VLOOKUP("Energy_Electricity",'OpenLCA Factors'!$A$6:$L$200,7,FALSE),0)</f>
        <v>-1.6055665599999998</v>
      </c>
      <c r="U9" s="25">
        <f>J9*IFERROR(VLOOKUP($N9,'OpenLCA Factors'!$A$6:$L$200,8,FALSE),0)+K9*IFERROR(VLOOKUP($O9,'OpenLCA Factors'!$A$6:$L$200,8,FALSE),0)+L9*IFERROR(VLOOKUP($P9,'OpenLCA Factors'!$A$6:$L$200,8,FALSE),0)+M9*IFERROR(VLOOKUP("Energy_Electricity",'OpenLCA Factors'!$A$6:$L$200,8,FALSE),0)</f>
        <v>-5.2858909999999995E-2</v>
      </c>
      <c r="V9" s="25">
        <f>J9*IFERROR(VLOOKUP($N9,'OpenLCA Factors'!$A$6:$L$200,9,FALSE),0)+K9*IFERROR(VLOOKUP($O9,'OpenLCA Factors'!$A$6:$L$200,9,FALSE),0)+L9*IFERROR(VLOOKUP($P9,'OpenLCA Factors'!$A$6:$L$200,9,FALSE),0)+M9*IFERROR(VLOOKUP("Energy_Electricity",'OpenLCA Factors'!$A$6:$L$200,9,FALSE),0)</f>
        <v>-428.78913999999997</v>
      </c>
      <c r="W9" s="25">
        <f>J9*IFERROR(VLOOKUP($N9,'OpenLCA Factors'!$A$6:$L$200,10,FALSE),0)+K9*IFERROR(VLOOKUP($O9,'OpenLCA Factors'!$A$6:$L$200,10,FALSE),0)+L9*IFERROR(VLOOKUP($P9,'OpenLCA Factors'!$A$6:$L$200,10,FALSE),0)+M9*IFERROR(VLOOKUP("Energy_Electricity",'OpenLCA Factors'!$A$6:$L$200,10,FALSE),0)</f>
        <v>-5.4685410000000001</v>
      </c>
      <c r="X9" s="25">
        <f>J9*IFERROR(VLOOKUP($N9,'OpenLCA Factors'!$A$6:$L$200,11,FALSE),0)+K9*IFERROR(VLOOKUP($O9,'OpenLCA Factors'!$A$6:$L$200,11,FALSE),0)+L9*IFERROR(VLOOKUP($P9,'OpenLCA Factors'!$A$6:$L$200,11,FALSE),0)+M9*IFERROR(VLOOKUP("Energy_Electricity",'OpenLCA Factors'!$A$6:$L$200,11,FALSE),0)</f>
        <v>-270.10281999999995</v>
      </c>
      <c r="Y9" s="25">
        <f t="shared" si="9"/>
        <v>-1445.4044279999998</v>
      </c>
      <c r="Z9" s="25">
        <f t="shared" si="10"/>
        <v>-1606.0049199999999</v>
      </c>
      <c r="AA9" s="25">
        <f t="shared" si="11"/>
        <v>-1766.6054119999999</v>
      </c>
    </row>
    <row r="10" spans="1:27" x14ac:dyDescent="0.75">
      <c r="A10" s="7" t="s">
        <v>130</v>
      </c>
      <c r="B10" s="25">
        <f>SUMIF('Calc Materials'!$B$6:$B$53,A10,'Calc Materials'!$F$6:$F$53)</f>
        <v>529.59999999999991</v>
      </c>
      <c r="C10" s="20">
        <f>IF(B10=0,0,SUMIF('Calc Materials'!$B$6:$B$53,A10,'Calc Materials'!$I$6:$I$53)/B10)</f>
        <v>0.18342145015105743</v>
      </c>
      <c r="D10" s="14">
        <v>0</v>
      </c>
      <c r="E10" s="14">
        <v>0.75</v>
      </c>
      <c r="F10" s="14">
        <v>0</v>
      </c>
      <c r="G10" s="14">
        <v>0.25</v>
      </c>
      <c r="H10" s="25">
        <f t="shared" si="0"/>
        <v>0</v>
      </c>
      <c r="I10" s="25">
        <f t="shared" si="1"/>
        <v>529.59999999999991</v>
      </c>
      <c r="J10" s="25">
        <f t="shared" si="2"/>
        <v>397.19999999999993</v>
      </c>
      <c r="K10" s="25">
        <f t="shared" si="3"/>
        <v>0</v>
      </c>
      <c r="L10" s="25">
        <f t="shared" si="4"/>
        <v>132.39999999999998</v>
      </c>
      <c r="M10" s="25">
        <f t="shared" si="5"/>
        <v>15.887999999999998</v>
      </c>
      <c r="N10" s="7" t="str">
        <f t="shared" si="6"/>
        <v>EOL_Recycle_Steel</v>
      </c>
      <c r="O10" t="str">
        <f t="shared" si="7"/>
        <v>EOL_Incinerate_Steel</v>
      </c>
      <c r="P10" s="7" t="str">
        <f t="shared" si="8"/>
        <v>EOL_Landfill_Steel</v>
      </c>
      <c r="Q10" s="25">
        <f>J10*IFERROR(VLOOKUP($N10,'OpenLCA Factors'!$A$6:$L$200,4,FALSE),0)+K10*IFERROR(VLOOKUP($O10,'OpenLCA Factors'!$A$6:$L$200,4,FALSE),0)+L10*IFERROR(VLOOKUP($P10,'OpenLCA Factors'!$A$6:$L$200,4,FALSE),0)+M10*IFERROR(VLOOKUP("Energy_Electricity",'OpenLCA Factors'!$A$6:$L$200,4,FALSE),0)</f>
        <v>-1164.1667199999999</v>
      </c>
      <c r="R10" s="25">
        <f>J10*IFERROR(VLOOKUP($N10,'OpenLCA Factors'!$A$6:$L$200,5,FALSE),0)+K10*IFERROR(VLOOKUP($O10,'OpenLCA Factors'!$A$6:$L$200,5,FALSE),0)+L10*IFERROR(VLOOKUP($P10,'OpenLCA Factors'!$A$6:$L$200,5,FALSE),0)+M10*IFERROR(VLOOKUP("Energy_Electricity",'OpenLCA Factors'!$A$6:$L$200,5,FALSE),0)</f>
        <v>-780.68335999999988</v>
      </c>
      <c r="S10" s="25">
        <f>J10*IFERROR(VLOOKUP($N10,'OpenLCA Factors'!$A$6:$L$200,6,FALSE),0)+K10*IFERROR(VLOOKUP($O10,'OpenLCA Factors'!$A$6:$L$200,6,FALSE),0)+L10*IFERROR(VLOOKUP($P10,'OpenLCA Factors'!$A$6:$L$200,6,FALSE),0)+M10*IFERROR(VLOOKUP("Energy_Electricity",'OpenLCA Factors'!$A$6:$L$200,6,FALSE),0)</f>
        <v>-0.78020671999999991</v>
      </c>
      <c r="T10" s="25">
        <f>J10*IFERROR(VLOOKUP($N10,'OpenLCA Factors'!$A$6:$L$200,7,FALSE),0)+K10*IFERROR(VLOOKUP($O10,'OpenLCA Factors'!$A$6:$L$200,7,FALSE),0)+L10*IFERROR(VLOOKUP($P10,'OpenLCA Factors'!$A$6:$L$200,7,FALSE),0)+M10*IFERROR(VLOOKUP("Energy_Electricity",'OpenLCA Factors'!$A$6:$L$200,7,FALSE),0)</f>
        <v>-1.1638489599999997</v>
      </c>
      <c r="U10" s="25">
        <f>J10*IFERROR(VLOOKUP($N10,'OpenLCA Factors'!$A$6:$L$200,8,FALSE),0)+K10*IFERROR(VLOOKUP($O10,'OpenLCA Factors'!$A$6:$L$200,8,FALSE),0)+L10*IFERROR(VLOOKUP($P10,'OpenLCA Factors'!$A$6:$L$200,8,FALSE),0)+M10*IFERROR(VLOOKUP("Energy_Electricity",'OpenLCA Factors'!$A$6:$L$200,8,FALSE),0)</f>
        <v>-3.831656E-2</v>
      </c>
      <c r="V10" s="25">
        <f>J10*IFERROR(VLOOKUP($N10,'OpenLCA Factors'!$A$6:$L$200,9,FALSE),0)+K10*IFERROR(VLOOKUP($O10,'OpenLCA Factors'!$A$6:$L$200,9,FALSE),0)+L10*IFERROR(VLOOKUP($P10,'OpenLCA Factors'!$A$6:$L$200,9,FALSE),0)+M10*IFERROR(VLOOKUP("Energy_Electricity",'OpenLCA Factors'!$A$6:$L$200,9,FALSE),0)</f>
        <v>-310.82223999999997</v>
      </c>
      <c r="W10" s="25">
        <f>J10*IFERROR(VLOOKUP($N10,'OpenLCA Factors'!$A$6:$L$200,10,FALSE),0)+K10*IFERROR(VLOOKUP($O10,'OpenLCA Factors'!$A$6:$L$200,10,FALSE),0)+L10*IFERROR(VLOOKUP($P10,'OpenLCA Factors'!$A$6:$L$200,10,FALSE),0)+M10*IFERROR(VLOOKUP("Energy_Electricity",'OpenLCA Factors'!$A$6:$L$200,10,FALSE),0)</f>
        <v>-3.9640559999999994</v>
      </c>
      <c r="X10" s="25">
        <f>J10*IFERROR(VLOOKUP($N10,'OpenLCA Factors'!$A$6:$L$200,11,FALSE),0)+K10*IFERROR(VLOOKUP($O10,'OpenLCA Factors'!$A$6:$L$200,11,FALSE),0)+L10*IFERROR(VLOOKUP($P10,'OpenLCA Factors'!$A$6:$L$200,11,FALSE),0)+M10*IFERROR(VLOOKUP("Energy_Electricity",'OpenLCA Factors'!$A$6:$L$200,11,FALSE),0)</f>
        <v>-195.79311999999996</v>
      </c>
      <c r="Y10" s="25">
        <f t="shared" si="9"/>
        <v>-950.63357199999996</v>
      </c>
      <c r="Z10" s="25">
        <f t="shared" si="10"/>
        <v>-1164.1667199999999</v>
      </c>
      <c r="AA10" s="25">
        <f t="shared" si="11"/>
        <v>-1377.6998679999999</v>
      </c>
    </row>
    <row r="11" spans="1:27" x14ac:dyDescent="0.75">
      <c r="A11" s="7" t="s">
        <v>131</v>
      </c>
      <c r="B11" s="25">
        <f>SUMIF('Calc Materials'!$B$6:$B$53,A11,'Calc Materials'!$F$6:$F$53)</f>
        <v>226.2</v>
      </c>
      <c r="C11" s="20">
        <f>IF(B11=0,0,SUMIF('Calc Materials'!$B$6:$B$53,A11,'Calc Materials'!$I$6:$I$53)/B11)</f>
        <v>0.14703801945181258</v>
      </c>
      <c r="D11" s="14">
        <v>0</v>
      </c>
      <c r="E11" s="14">
        <v>0.75</v>
      </c>
      <c r="F11" s="14">
        <v>0</v>
      </c>
      <c r="G11" s="14">
        <v>0.25</v>
      </c>
      <c r="H11" s="25">
        <f t="shared" si="0"/>
        <v>0</v>
      </c>
      <c r="I11" s="25">
        <f t="shared" si="1"/>
        <v>226.2</v>
      </c>
      <c r="J11" s="25">
        <f t="shared" si="2"/>
        <v>169.64999999999998</v>
      </c>
      <c r="K11" s="25">
        <f t="shared" si="3"/>
        <v>0</v>
      </c>
      <c r="L11" s="25">
        <f t="shared" si="4"/>
        <v>56.55</v>
      </c>
      <c r="M11" s="25">
        <f t="shared" si="5"/>
        <v>6.7859999999999996</v>
      </c>
      <c r="N11" s="7" t="str">
        <f t="shared" si="6"/>
        <v>EOL_Recycle_Aluminium</v>
      </c>
      <c r="O11" t="str">
        <f t="shared" si="7"/>
        <v>EOL_Incinerate_Aluminium</v>
      </c>
      <c r="P11" s="7" t="str">
        <f t="shared" si="8"/>
        <v>EOL_Landfill_Aluminium</v>
      </c>
      <c r="Q11" s="25">
        <f>J11*IFERROR(VLOOKUP($N11,'OpenLCA Factors'!$A$6:$L$200,4,FALSE),0)+K11*IFERROR(VLOOKUP($O11,'OpenLCA Factors'!$A$6:$L$200,4,FALSE),0)+L11*IFERROR(VLOOKUP($P11,'OpenLCA Factors'!$A$6:$L$200,4,FALSE),0)+M11*IFERROR(VLOOKUP("Energy_Electricity",'OpenLCA Factors'!$A$6:$L$200,4,FALSE),0)</f>
        <v>-497.23283999999995</v>
      </c>
      <c r="R11" s="25">
        <f>J11*IFERROR(VLOOKUP($N11,'OpenLCA Factors'!$A$6:$L$200,5,FALSE),0)+K11*IFERROR(VLOOKUP($O11,'OpenLCA Factors'!$A$6:$L$200,5,FALSE),0)+L11*IFERROR(VLOOKUP($P11,'OpenLCA Factors'!$A$6:$L$200,5,FALSE),0)+M11*IFERROR(VLOOKUP("Energy_Electricity",'OpenLCA Factors'!$A$6:$L$200,5,FALSE),0)</f>
        <v>-333.44141999999999</v>
      </c>
      <c r="S11" s="25">
        <f>J11*IFERROR(VLOOKUP($N11,'OpenLCA Factors'!$A$6:$L$200,6,FALSE),0)+K11*IFERROR(VLOOKUP($O11,'OpenLCA Factors'!$A$6:$L$200,6,FALSE),0)+L11*IFERROR(VLOOKUP($P11,'OpenLCA Factors'!$A$6:$L$200,6,FALSE),0)+M11*IFERROR(VLOOKUP("Energy_Electricity",'OpenLCA Factors'!$A$6:$L$200,6,FALSE),0)</f>
        <v>-0.3332378399999999</v>
      </c>
      <c r="T11" s="25">
        <f>J11*IFERROR(VLOOKUP($N11,'OpenLCA Factors'!$A$6:$L$200,7,FALSE),0)+K11*IFERROR(VLOOKUP($O11,'OpenLCA Factors'!$A$6:$L$200,7,FALSE),0)+L11*IFERROR(VLOOKUP($P11,'OpenLCA Factors'!$A$6:$L$200,7,FALSE),0)+M11*IFERROR(VLOOKUP("Energy_Electricity",'OpenLCA Factors'!$A$6:$L$200,7,FALSE),0)</f>
        <v>-0.49709711999999989</v>
      </c>
      <c r="U11" s="25">
        <f>J11*IFERROR(VLOOKUP($N11,'OpenLCA Factors'!$A$6:$L$200,8,FALSE),0)+K11*IFERROR(VLOOKUP($O11,'OpenLCA Factors'!$A$6:$L$200,8,FALSE),0)+L11*IFERROR(VLOOKUP($P11,'OpenLCA Factors'!$A$6:$L$200,8,FALSE),0)+M11*IFERROR(VLOOKUP("Energy_Electricity",'OpenLCA Factors'!$A$6:$L$200,8,FALSE),0)</f>
        <v>-1.6365569999999996E-2</v>
      </c>
      <c r="V11" s="25">
        <f>J11*IFERROR(VLOOKUP($N11,'OpenLCA Factors'!$A$6:$L$200,9,FALSE),0)+K11*IFERROR(VLOOKUP($O11,'OpenLCA Factors'!$A$6:$L$200,9,FALSE),0)+L11*IFERROR(VLOOKUP($P11,'OpenLCA Factors'!$A$6:$L$200,9,FALSE),0)+M11*IFERROR(VLOOKUP("Energy_Electricity",'OpenLCA Factors'!$A$6:$L$200,9,FALSE),0)</f>
        <v>-132.75678000000002</v>
      </c>
      <c r="W11" s="25">
        <f>J11*IFERROR(VLOOKUP($N11,'OpenLCA Factors'!$A$6:$L$200,10,FALSE),0)+K11*IFERROR(VLOOKUP($O11,'OpenLCA Factors'!$A$6:$L$200,10,FALSE),0)+L11*IFERROR(VLOOKUP($P11,'OpenLCA Factors'!$A$6:$L$200,10,FALSE),0)+M11*IFERROR(VLOOKUP("Energy_Electricity",'OpenLCA Factors'!$A$6:$L$200,10,FALSE),0)</f>
        <v>-1.6931069999999999</v>
      </c>
      <c r="X11" s="25">
        <f>J11*IFERROR(VLOOKUP($N11,'OpenLCA Factors'!$A$6:$L$200,11,FALSE),0)+K11*IFERROR(VLOOKUP($O11,'OpenLCA Factors'!$A$6:$L$200,11,FALSE),0)+L11*IFERROR(VLOOKUP($P11,'OpenLCA Factors'!$A$6:$L$200,11,FALSE),0)+M11*IFERROR(VLOOKUP("Energy_Electricity",'OpenLCA Factors'!$A$6:$L$200,11,FALSE),0)</f>
        <v>-83.626139999999992</v>
      </c>
      <c r="Y11" s="25">
        <f t="shared" si="9"/>
        <v>-424.12070799999992</v>
      </c>
      <c r="Z11" s="25">
        <f t="shared" si="10"/>
        <v>-497.23283999999995</v>
      </c>
      <c r="AA11" s="25">
        <f t="shared" si="11"/>
        <v>-570.34497199999998</v>
      </c>
    </row>
    <row r="12" spans="1:27" x14ac:dyDescent="0.75">
      <c r="A12" s="7" t="s">
        <v>132</v>
      </c>
      <c r="B12" s="25">
        <f>SUMIF('Calc Materials'!$B$6:$B$53,A12,'Calc Materials'!$F$6:$F$53)</f>
        <v>154.5</v>
      </c>
      <c r="C12" s="20">
        <f>IF(B12=0,0,SUMIF('Calc Materials'!$B$6:$B$53,A12,'Calc Materials'!$I$6:$I$53)/B12)</f>
        <v>0.26634304207119741</v>
      </c>
      <c r="D12" s="14">
        <v>0</v>
      </c>
      <c r="E12" s="14">
        <v>0.2</v>
      </c>
      <c r="F12" s="14">
        <v>0.3</v>
      </c>
      <c r="G12" s="14">
        <v>0.5</v>
      </c>
      <c r="H12" s="25">
        <f t="shared" si="0"/>
        <v>0</v>
      </c>
      <c r="I12" s="25">
        <f t="shared" si="1"/>
        <v>154.5</v>
      </c>
      <c r="J12" s="25">
        <f t="shared" si="2"/>
        <v>30.900000000000002</v>
      </c>
      <c r="K12" s="25">
        <f t="shared" si="3"/>
        <v>46.35</v>
      </c>
      <c r="L12" s="25">
        <f t="shared" si="4"/>
        <v>77.25</v>
      </c>
      <c r="M12" s="25">
        <f t="shared" si="5"/>
        <v>1.2360000000000002</v>
      </c>
      <c r="N12" s="7" t="str">
        <f t="shared" si="6"/>
        <v>EOL_Recycle_Electronics</v>
      </c>
      <c r="O12" t="str">
        <f t="shared" si="7"/>
        <v>EOL_Incinerate_Electronics</v>
      </c>
      <c r="P12" s="7" t="str">
        <f t="shared" si="8"/>
        <v>EOL_Landfill_Electronics</v>
      </c>
      <c r="Q12" s="25">
        <f>J12*IFERROR(VLOOKUP($N12,'OpenLCA Factors'!$A$6:$L$200,4,FALSE),0)+K12*IFERROR(VLOOKUP($O12,'OpenLCA Factors'!$A$6:$L$200,4,FALSE),0)+L12*IFERROR(VLOOKUP($P12,'OpenLCA Factors'!$A$6:$L$200,4,FALSE),0)+M12*IFERROR(VLOOKUP("Energy_Electricity",'OpenLCA Factors'!$A$6:$L$200,4,FALSE),0)</f>
        <v>7.4160000000007109E-2</v>
      </c>
      <c r="R12" s="25">
        <f>J12*IFERROR(VLOOKUP($N12,'OpenLCA Factors'!$A$6:$L$200,5,FALSE),0)+K12*IFERROR(VLOOKUP($O12,'OpenLCA Factors'!$A$6:$L$200,5,FALSE),0)+L12*IFERROR(VLOOKUP($P12,'OpenLCA Factors'!$A$6:$L$200,5,FALSE),0)+M12*IFERROR(VLOOKUP("Energy_Electricity",'OpenLCA Factors'!$A$6:$L$200,5,FALSE),0)</f>
        <v>-32.40791999999999</v>
      </c>
      <c r="S12" s="25">
        <f>J12*IFERROR(VLOOKUP($N12,'OpenLCA Factors'!$A$6:$L$200,6,FALSE),0)+K12*IFERROR(VLOOKUP($O12,'OpenLCA Factors'!$A$6:$L$200,6,FALSE),0)+L12*IFERROR(VLOOKUP($P12,'OpenLCA Factors'!$A$6:$L$200,6,FALSE),0)+M12*IFERROR(VLOOKUP("Energy_Electricity",'OpenLCA Factors'!$A$6:$L$200,6,FALSE),0)</f>
        <v>-2.3100840000000004E-2</v>
      </c>
      <c r="T12" s="25">
        <f>J12*IFERROR(VLOOKUP($N12,'OpenLCA Factors'!$A$6:$L$200,7,FALSE),0)+K12*IFERROR(VLOOKUP($O12,'OpenLCA Factors'!$A$6:$L$200,7,FALSE),0)+L12*IFERROR(VLOOKUP($P12,'OpenLCA Factors'!$A$6:$L$200,7,FALSE),0)+M12*IFERROR(VLOOKUP("Energy_Electricity",'OpenLCA Factors'!$A$6:$L$200,7,FALSE),0)</f>
        <v>-6.0811200000000084E-3</v>
      </c>
      <c r="U12" s="25">
        <f>J12*IFERROR(VLOOKUP($N12,'OpenLCA Factors'!$A$6:$L$200,8,FALSE),0)+K12*IFERROR(VLOOKUP($O12,'OpenLCA Factors'!$A$6:$L$200,8,FALSE),0)+L12*IFERROR(VLOOKUP($P12,'OpenLCA Factors'!$A$6:$L$200,8,FALSE),0)+M12*IFERROR(VLOOKUP("Energy_Electricity",'OpenLCA Factors'!$A$6:$L$200,8,FALSE),0)</f>
        <v>-1.4832000000000012E-4</v>
      </c>
      <c r="V12" s="25">
        <f>J12*IFERROR(VLOOKUP($N12,'OpenLCA Factors'!$A$6:$L$200,9,FALSE),0)+K12*IFERROR(VLOOKUP($O12,'OpenLCA Factors'!$A$6:$L$200,9,FALSE),0)+L12*IFERROR(VLOOKUP($P12,'OpenLCA Factors'!$A$6:$L$200,9,FALSE),0)+M12*IFERROR(VLOOKUP("Energy_Electricity",'OpenLCA Factors'!$A$6:$L$200,9,FALSE),0)</f>
        <v>-24.695279999999993</v>
      </c>
      <c r="W12" s="25">
        <f>J12*IFERROR(VLOOKUP($N12,'OpenLCA Factors'!$A$6:$L$200,10,FALSE),0)+K12*IFERROR(VLOOKUP($O12,'OpenLCA Factors'!$A$6:$L$200,10,FALSE),0)+L12*IFERROR(VLOOKUP($P12,'OpenLCA Factors'!$A$6:$L$200,10,FALSE),0)+M12*IFERROR(VLOOKUP("Energy_Electricity",'OpenLCA Factors'!$A$6:$L$200,10,FALSE),0)</f>
        <v>-0.6173820000000001</v>
      </c>
      <c r="X12" s="25">
        <f>J12*IFERROR(VLOOKUP($N12,'OpenLCA Factors'!$A$6:$L$200,11,FALSE),0)+K12*IFERROR(VLOOKUP($O12,'OpenLCA Factors'!$A$6:$L$200,11,FALSE),0)+L12*IFERROR(VLOOKUP($P12,'OpenLCA Factors'!$A$6:$L$200,11,FALSE),0)+M12*IFERROR(VLOOKUP("Energy_Electricity",'OpenLCA Factors'!$A$6:$L$200,11,FALSE),0)</f>
        <v>-30.887639999999998</v>
      </c>
      <c r="Y12" s="25">
        <f t="shared" si="9"/>
        <v>5.4408000000005216E-2</v>
      </c>
      <c r="Z12" s="25">
        <f t="shared" si="10"/>
        <v>7.4160000000007109E-2</v>
      </c>
      <c r="AA12" s="25">
        <f t="shared" si="11"/>
        <v>9.3912000000009002E-2</v>
      </c>
    </row>
    <row r="13" spans="1:27" x14ac:dyDescent="0.75">
      <c r="A13" s="7" t="s">
        <v>133</v>
      </c>
      <c r="B13" s="25">
        <f>SUMIF('Calc Materials'!$B$6:$B$53,A13,'Calc Materials'!$F$6:$F$53)</f>
        <v>191.09999999999997</v>
      </c>
      <c r="C13" s="20">
        <f>IF(B13=0,0,SUMIF('Calc Materials'!$B$6:$B$53,A13,'Calc Materials'!$I$6:$I$53)/B13)</f>
        <v>0.12689691261119834</v>
      </c>
      <c r="D13" s="14">
        <v>0</v>
      </c>
      <c r="E13" s="14">
        <v>0</v>
      </c>
      <c r="F13" s="14">
        <v>0.5</v>
      </c>
      <c r="G13" s="14">
        <v>0.5</v>
      </c>
      <c r="H13" s="25">
        <f t="shared" si="0"/>
        <v>0</v>
      </c>
      <c r="I13" s="25">
        <f t="shared" si="1"/>
        <v>191.09999999999997</v>
      </c>
      <c r="J13" s="25">
        <f t="shared" si="2"/>
        <v>0</v>
      </c>
      <c r="K13" s="25">
        <f t="shared" si="3"/>
        <v>95.549999999999983</v>
      </c>
      <c r="L13" s="25">
        <f t="shared" si="4"/>
        <v>95.549999999999983</v>
      </c>
      <c r="M13" s="25">
        <f t="shared" si="5"/>
        <v>0</v>
      </c>
      <c r="N13" s="7" t="str">
        <f t="shared" si="6"/>
        <v>EOL_Recycle_Other</v>
      </c>
      <c r="O13" t="str">
        <f t="shared" si="7"/>
        <v>EOL_Incinerate_Other</v>
      </c>
      <c r="P13" s="7" t="str">
        <f t="shared" si="8"/>
        <v>EOL_Landfill_Other</v>
      </c>
      <c r="Q13" s="25">
        <f>J13*IFERROR(VLOOKUP($N13,'OpenLCA Factors'!$A$6:$L$200,4,FALSE),0)+K13*IFERROR(VLOOKUP($O13,'OpenLCA Factors'!$A$6:$L$200,4,FALSE),0)+L13*IFERROR(VLOOKUP($P13,'OpenLCA Factors'!$A$6:$L$200,4,FALSE),0)+M13*IFERROR(VLOOKUP("Energy_Electricity",'OpenLCA Factors'!$A$6:$L$200,4,FALSE),0)</f>
        <v>181.54499999999999</v>
      </c>
      <c r="R13" s="25">
        <f>J13*IFERROR(VLOOKUP($N13,'OpenLCA Factors'!$A$6:$L$200,5,FALSE),0)+K13*IFERROR(VLOOKUP($O13,'OpenLCA Factors'!$A$6:$L$200,5,FALSE),0)+L13*IFERROR(VLOOKUP($P13,'OpenLCA Factors'!$A$6:$L$200,5,FALSE),0)+M13*IFERROR(VLOOKUP("Energy_Electricity",'OpenLCA Factors'!$A$6:$L$200,5,FALSE),0)</f>
        <v>47.774999999999991</v>
      </c>
      <c r="S13" s="25">
        <f>J13*IFERROR(VLOOKUP($N13,'OpenLCA Factors'!$A$6:$L$200,6,FALSE),0)+K13*IFERROR(VLOOKUP($O13,'OpenLCA Factors'!$A$6:$L$200,6,FALSE),0)+L13*IFERROR(VLOOKUP($P13,'OpenLCA Factors'!$A$6:$L$200,6,FALSE),0)+M13*IFERROR(VLOOKUP("Energy_Electricity",'OpenLCA Factors'!$A$6:$L$200,6,FALSE),0)</f>
        <v>5.7329999999999992E-2</v>
      </c>
      <c r="T13" s="25">
        <f>J13*IFERROR(VLOOKUP($N13,'OpenLCA Factors'!$A$6:$L$200,7,FALSE),0)+K13*IFERROR(VLOOKUP($O13,'OpenLCA Factors'!$A$6:$L$200,7,FALSE),0)+L13*IFERROR(VLOOKUP($P13,'OpenLCA Factors'!$A$6:$L$200,7,FALSE),0)+M13*IFERROR(VLOOKUP("Energy_Electricity",'OpenLCA Factors'!$A$6:$L$200,7,FALSE),0)</f>
        <v>9.5549999999999996E-2</v>
      </c>
      <c r="U13" s="25">
        <f>J13*IFERROR(VLOOKUP($N13,'OpenLCA Factors'!$A$6:$L$200,8,FALSE),0)+K13*IFERROR(VLOOKUP($O13,'OpenLCA Factors'!$A$6:$L$200,8,FALSE),0)+L13*IFERROR(VLOOKUP($P13,'OpenLCA Factors'!$A$6:$L$200,8,FALSE),0)+M13*IFERROR(VLOOKUP("Energy_Electricity",'OpenLCA Factors'!$A$6:$L$200,8,FALSE),0)</f>
        <v>2.8664999999999997E-3</v>
      </c>
      <c r="V13" s="25">
        <f>J13*IFERROR(VLOOKUP($N13,'OpenLCA Factors'!$A$6:$L$200,9,FALSE),0)+K13*IFERROR(VLOOKUP($O13,'OpenLCA Factors'!$A$6:$L$200,9,FALSE),0)+L13*IFERROR(VLOOKUP($P13,'OpenLCA Factors'!$A$6:$L$200,9,FALSE),0)+M13*IFERROR(VLOOKUP("Energy_Electricity",'OpenLCA Factors'!$A$6:$L$200,9,FALSE),0)</f>
        <v>26.753999999999994</v>
      </c>
      <c r="W13" s="25">
        <f>J13*IFERROR(VLOOKUP($N13,'OpenLCA Factors'!$A$6:$L$200,10,FALSE),0)+K13*IFERROR(VLOOKUP($O13,'OpenLCA Factors'!$A$6:$L$200,10,FALSE),0)+L13*IFERROR(VLOOKUP($P13,'OpenLCA Factors'!$A$6:$L$200,10,FALSE),0)+M13*IFERROR(VLOOKUP("Energy_Electricity",'OpenLCA Factors'!$A$6:$L$200,10,FALSE),0)</f>
        <v>0</v>
      </c>
      <c r="X13" s="25">
        <f>J13*IFERROR(VLOOKUP($N13,'OpenLCA Factors'!$A$6:$L$200,11,FALSE),0)+K13*IFERROR(VLOOKUP($O13,'OpenLCA Factors'!$A$6:$L$200,11,FALSE),0)+L13*IFERROR(VLOOKUP($P13,'OpenLCA Factors'!$A$6:$L$200,11,FALSE),0)+M13*IFERROR(VLOOKUP("Energy_Electricity",'OpenLCA Factors'!$A$6:$L$200,11,FALSE),0)</f>
        <v>7.6439999999999984</v>
      </c>
      <c r="Y13" s="25">
        <f t="shared" si="9"/>
        <v>158.50749999999999</v>
      </c>
      <c r="Z13" s="25">
        <f t="shared" si="10"/>
        <v>181.54499999999999</v>
      </c>
      <c r="AA13" s="25">
        <f t="shared" si="11"/>
        <v>204.58249999999998</v>
      </c>
    </row>
    <row r="15" spans="1:27" x14ac:dyDescent="0.75">
      <c r="A15" s="4" t="s">
        <v>120</v>
      </c>
      <c r="B15" s="25">
        <f t="shared" ref="B15:AA15" si="12">SUM(B6:B13)</f>
        <v>11000.000000000002</v>
      </c>
      <c r="C15" s="20">
        <f t="shared" si="12"/>
        <v>1.1222360536745992</v>
      </c>
      <c r="D15" s="25">
        <f t="shared" si="12"/>
        <v>0</v>
      </c>
      <c r="E15" s="25">
        <f t="shared" si="12"/>
        <v>3.2</v>
      </c>
      <c r="F15" s="25">
        <f t="shared" si="12"/>
        <v>1.8</v>
      </c>
      <c r="G15" s="25">
        <f t="shared" si="12"/>
        <v>3</v>
      </c>
      <c r="H15" s="25">
        <f t="shared" si="12"/>
        <v>0</v>
      </c>
      <c r="I15" s="25">
        <f t="shared" si="12"/>
        <v>11000.000000000002</v>
      </c>
      <c r="J15" s="25">
        <f t="shared" si="12"/>
        <v>2407.125</v>
      </c>
      <c r="K15" s="25">
        <f t="shared" si="12"/>
        <v>3884.95</v>
      </c>
      <c r="L15" s="25">
        <f t="shared" si="12"/>
        <v>4707.9249999999993</v>
      </c>
      <c r="M15" s="25">
        <f t="shared" si="12"/>
        <v>96.285000000000011</v>
      </c>
      <c r="N15" s="25">
        <f t="shared" si="12"/>
        <v>0</v>
      </c>
      <c r="O15" s="25">
        <f t="shared" si="12"/>
        <v>0</v>
      </c>
      <c r="P15" s="25">
        <f t="shared" si="12"/>
        <v>0</v>
      </c>
      <c r="Q15" s="25">
        <f t="shared" si="12"/>
        <v>328.8571000000004</v>
      </c>
      <c r="R15" s="25">
        <f t="shared" si="12"/>
        <v>-2783.4989499999992</v>
      </c>
      <c r="S15" s="25">
        <f t="shared" si="12"/>
        <v>-2.3874804000000003</v>
      </c>
      <c r="T15" s="25">
        <f t="shared" si="12"/>
        <v>-3.1301372000000001</v>
      </c>
      <c r="U15" s="25">
        <f t="shared" si="12"/>
        <v>-0.11421682499999995</v>
      </c>
      <c r="V15" s="25">
        <f t="shared" si="12"/>
        <v>-809.36254999999994</v>
      </c>
      <c r="W15" s="25">
        <f t="shared" si="12"/>
        <v>-24.332107499999999</v>
      </c>
      <c r="X15" s="25">
        <f t="shared" si="12"/>
        <v>-895.12014999999997</v>
      </c>
      <c r="Y15" s="25">
        <f t="shared" si="12"/>
        <v>509.82487800000001</v>
      </c>
      <c r="Z15" s="25">
        <f t="shared" si="12"/>
        <v>328.8571000000004</v>
      </c>
      <c r="AA15" s="25">
        <f t="shared" si="12"/>
        <v>147.88932200000031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showGridLines="0" workbookViewId="0">
      <selection activeCell="F10" sqref="F10"/>
    </sheetView>
  </sheetViews>
  <sheetFormatPr defaultRowHeight="14.75" x14ac:dyDescent="0.75"/>
  <cols>
    <col min="1" max="1" width="18" customWidth="1"/>
    <col min="2" max="4" width="14" customWidth="1"/>
    <col min="6" max="7" width="16" customWidth="1"/>
    <col min="8" max="8" width="12" customWidth="1"/>
  </cols>
  <sheetData>
    <row r="1" spans="1:8" ht="18.5" x14ac:dyDescent="0.9">
      <c r="A1" s="1" t="s">
        <v>246</v>
      </c>
    </row>
    <row r="4" spans="1:8" ht="29.5" x14ac:dyDescent="0.75">
      <c r="A4" s="11" t="s">
        <v>247</v>
      </c>
      <c r="B4" s="11" t="s">
        <v>248</v>
      </c>
      <c r="C4" s="11" t="s">
        <v>249</v>
      </c>
      <c r="D4" s="11" t="s">
        <v>250</v>
      </c>
      <c r="F4" s="11" t="s">
        <v>162</v>
      </c>
      <c r="G4" s="11" t="s">
        <v>251</v>
      </c>
      <c r="H4" s="11" t="s">
        <v>252</v>
      </c>
    </row>
    <row r="5" spans="1:8" x14ac:dyDescent="0.75">
      <c r="A5" s="4" t="s">
        <v>253</v>
      </c>
      <c r="B5" s="25">
        <f>SUM('Calc Manufacturing'!AT6:AT11)</f>
        <v>203088.58187739461</v>
      </c>
      <c r="C5" s="25">
        <f>SUM('Calc Manufacturing'!AU6:AU11)</f>
        <v>225505.69999999998</v>
      </c>
      <c r="D5" s="25">
        <f>SUM('Calc Manufacturing'!AV6:AV11)</f>
        <v>247922.81812260533</v>
      </c>
      <c r="F5" s="4" t="s">
        <v>82</v>
      </c>
      <c r="G5" s="26">
        <f>IFERROR(VLOOKUP(F5,'Calc Operations'!$A$6:$R$9,7,FALSE),0)</f>
        <v>69681047.040000007</v>
      </c>
      <c r="H5" s="20">
        <f>IF($G$5=0,0,G5/$G$5-1)</f>
        <v>0</v>
      </c>
    </row>
    <row r="6" spans="1:8" x14ac:dyDescent="0.75">
      <c r="A6" s="4" t="s">
        <v>254</v>
      </c>
      <c r="B6" s="26">
        <f>IFERROR(VLOOKUP('Aircraft Input'!$B$27,'Calc Operations'!$A$6:$R$9,17,FALSE),0)</f>
        <v>35160428.160000004</v>
      </c>
      <c r="C6" s="26">
        <f>IFERROR(VLOOKUP('Aircraft Input'!$B$27,'Calc Operations'!$A$6:$R$9,7,FALSE),0)</f>
        <v>69681047.040000007</v>
      </c>
      <c r="D6" s="26">
        <f>IFERROR(VLOOKUP('Aircraft Input'!$B$27,'Calc Operations'!$A$6:$R$9,18,FALSE),0)</f>
        <v>130870080.00000001</v>
      </c>
      <c r="F6" s="4" t="s">
        <v>155</v>
      </c>
      <c r="G6" s="26">
        <f>IFERROR(VLOOKUP(F6,'Calc Operations'!$A$6:$R$9,7,FALSE),0)</f>
        <v>48348213.120000005</v>
      </c>
      <c r="H6" s="20">
        <f>IF($G$5=0,0,G6/$G$5-1)</f>
        <v>-0.30614973262032086</v>
      </c>
    </row>
    <row r="7" spans="1:8" x14ac:dyDescent="0.75">
      <c r="A7" s="4" t="s">
        <v>255</v>
      </c>
      <c r="B7" s="25">
        <f>SUM('Calc EOL'!Y6:Y13)</f>
        <v>509.82487800000001</v>
      </c>
      <c r="C7" s="25">
        <f>SUM('Calc EOL'!Z6:Z13)</f>
        <v>328.8571000000004</v>
      </c>
      <c r="D7" s="25">
        <f>SUM('Calc EOL'!AA6:AA13)</f>
        <v>147.88932200000031</v>
      </c>
      <c r="F7" s="4" t="s">
        <v>159</v>
      </c>
      <c r="G7" s="26">
        <f>IFERROR(VLOOKUP(F7,'Calc Operations'!$A$6:$R$9,7,FALSE),0)</f>
        <v>16348962.240000002</v>
      </c>
      <c r="H7" s="20">
        <f>IF($G$5=0,0,G7/$G$5-1)</f>
        <v>-0.76537433155080214</v>
      </c>
    </row>
    <row r="8" spans="1:8" x14ac:dyDescent="0.75">
      <c r="A8" s="4" t="s">
        <v>120</v>
      </c>
      <c r="B8" s="25">
        <f>SUM(B5:B7)</f>
        <v>35364026.566755399</v>
      </c>
      <c r="C8" s="25">
        <f>SUM(C5:C7)</f>
        <v>69906881.597100005</v>
      </c>
      <c r="D8" s="25">
        <f>SUM(D5:D7)</f>
        <v>131118150.70744462</v>
      </c>
      <c r="F8" s="4" t="s">
        <v>160</v>
      </c>
      <c r="G8" s="26">
        <f>IFERROR(VLOOKUP(F8,'Calc Operations'!$A$6:$R$9,7,FALSE),0)</f>
        <v>48639327.119999997</v>
      </c>
      <c r="H8" s="20">
        <f>IF($G$5=0,0,G8/$G$5-1)</f>
        <v>-0.30197192513368998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4"/>
  <sheetViews>
    <sheetView showGridLines="0" topLeftCell="A10" workbookViewId="0">
      <selection activeCell="A13" sqref="A13"/>
    </sheetView>
  </sheetViews>
  <sheetFormatPr defaultRowHeight="14.75" x14ac:dyDescent="0.75"/>
  <cols>
    <col min="1" max="1" width="28" customWidth="1"/>
    <col min="2" max="2" width="16" customWidth="1"/>
    <col min="3" max="5" width="18" customWidth="1"/>
    <col min="6" max="6" width="12" customWidth="1"/>
    <col min="7" max="7" width="16" customWidth="1"/>
    <col min="8" max="9" width="18" customWidth="1"/>
  </cols>
  <sheetData>
    <row r="1" spans="1:9" ht="18.5" x14ac:dyDescent="0.9">
      <c r="A1" s="1" t="s">
        <v>256</v>
      </c>
    </row>
    <row r="3" spans="1:9" x14ac:dyDescent="0.75">
      <c r="A3" s="4" t="s">
        <v>257</v>
      </c>
      <c r="B3" s="12" t="str">
        <f>'Aircraft Input'!$B$27</f>
        <v>JetA1_100</v>
      </c>
    </row>
    <row r="5" spans="1:9" ht="29.5" x14ac:dyDescent="0.75">
      <c r="A5" s="11" t="s">
        <v>258</v>
      </c>
      <c r="B5" s="11" t="s">
        <v>259</v>
      </c>
      <c r="C5" s="11" t="s">
        <v>260</v>
      </c>
      <c r="E5" s="11" t="s">
        <v>247</v>
      </c>
      <c r="F5" s="11" t="s">
        <v>261</v>
      </c>
    </row>
    <row r="6" spans="1:9" ht="29.5" x14ac:dyDescent="0.75">
      <c r="A6" s="4" t="s">
        <v>262</v>
      </c>
      <c r="B6" s="25">
        <f>SUM('Calc Manufacturing'!AU6:AU11)</f>
        <v>225505.69999999998</v>
      </c>
      <c r="C6" s="5" t="str">
        <f t="shared" ref="C6:C13" si="0">IF(ABS(B6)&gt;=1000000000,ROUND(B6/1000000000,2)&amp;" million tonnes CO2-eq",IF(ABS(B6)&gt;=1000000,ROUND(B6/1000000,2)&amp;" thousand tonnes CO2-eq",ROUND(B6/1000,1)&amp;" tonnes CO2-eq"))</f>
        <v>225.5 tonnes CO2-eq</v>
      </c>
      <c r="E6" s="4" t="s">
        <v>253</v>
      </c>
      <c r="F6" s="20">
        <f>IF($B$9=0,0,B6/$B$9)</f>
        <v>3.2258011636061134E-3</v>
      </c>
    </row>
    <row r="7" spans="1:9" ht="29.5" x14ac:dyDescent="0.75">
      <c r="A7" s="4" t="s">
        <v>263</v>
      </c>
      <c r="B7" s="26">
        <f>IFERROR(VLOOKUP($B$3,'Calc Operations'!$A$6:$R$9,7,FALSE),0)</f>
        <v>69681047.040000007</v>
      </c>
      <c r="C7" s="5" t="str">
        <f t="shared" si="0"/>
        <v>69.68 thousand tonnes CO2-eq</v>
      </c>
      <c r="E7" s="4" t="s">
        <v>254</v>
      </c>
      <c r="F7" s="20">
        <f>IF($B$9=0,0,B7/$B$9)</f>
        <v>0.99676949461997788</v>
      </c>
    </row>
    <row r="8" spans="1:9" x14ac:dyDescent="0.75">
      <c r="A8" s="4" t="s">
        <v>264</v>
      </c>
      <c r="B8" s="25">
        <f>SUM('Calc EOL'!Z6:Z13)</f>
        <v>328.8571000000004</v>
      </c>
      <c r="C8" s="5" t="str">
        <f t="shared" si="0"/>
        <v>0.3 tonnes CO2-eq</v>
      </c>
      <c r="E8" s="4" t="s">
        <v>255</v>
      </c>
      <c r="F8" s="20">
        <f>IF($B$9=0,0,B8/$B$9)</f>
        <v>4.7042164159936236E-6</v>
      </c>
    </row>
    <row r="9" spans="1:9" ht="29.5" x14ac:dyDescent="0.75">
      <c r="A9" s="4" t="s">
        <v>265</v>
      </c>
      <c r="B9" s="25">
        <f>SUM(B6:B8)</f>
        <v>69906881.597100005</v>
      </c>
      <c r="C9" s="5" t="str">
        <f t="shared" si="0"/>
        <v>69.91 thousand tonnes CO2-eq</v>
      </c>
    </row>
    <row r="10" spans="1:9" ht="29.5" x14ac:dyDescent="0.75">
      <c r="A10" s="4" t="s">
        <v>266</v>
      </c>
      <c r="B10" s="25">
        <f>Sensitivity!B8</f>
        <v>35364026.566755399</v>
      </c>
      <c r="C10" s="5" t="str">
        <f t="shared" si="0"/>
        <v>35.36 thousand tonnes CO2-eq</v>
      </c>
    </row>
    <row r="11" spans="1:9" ht="29.5" x14ac:dyDescent="0.75">
      <c r="A11" s="4" t="s">
        <v>267</v>
      </c>
      <c r="B11" s="25">
        <f>Sensitivity!D8</f>
        <v>131118150.70744462</v>
      </c>
      <c r="C11" s="5" t="str">
        <f t="shared" si="0"/>
        <v>131.12 thousand tonnes CO2-eq</v>
      </c>
    </row>
    <row r="12" spans="1:9" ht="29.5" x14ac:dyDescent="0.75">
      <c r="A12" s="4" t="s">
        <v>268</v>
      </c>
      <c r="B12" s="25">
        <f>B9*'Aircraft Input'!$B$10</f>
        <v>69906881.597100005</v>
      </c>
      <c r="C12" s="5" t="str">
        <f t="shared" si="0"/>
        <v>69.91 thousand tonnes CO2-eq</v>
      </c>
    </row>
    <row r="13" spans="1:9" ht="29.5" x14ac:dyDescent="0.75">
      <c r="A13" s="4" t="s">
        <v>269</v>
      </c>
      <c r="B13" s="26">
        <f>IF('Aircraft Input'!$B$10*'Aircraft Input'!$B$9=0,0,B12*('Aircraft Input'!$B$11/('Aircraft Input'!$B$10*'Aircraft Input'!$B$9)))</f>
        <v>2912786.7332124999</v>
      </c>
      <c r="C13" s="5" t="str">
        <f t="shared" si="0"/>
        <v>2.91 thousand tonnes CO2-eq</v>
      </c>
    </row>
    <row r="16" spans="1:9" x14ac:dyDescent="0.75">
      <c r="A16" s="11" t="s">
        <v>270</v>
      </c>
      <c r="B16" s="11" t="s">
        <v>253</v>
      </c>
      <c r="C16" s="11" t="s">
        <v>254</v>
      </c>
      <c r="D16" s="11" t="s">
        <v>255</v>
      </c>
      <c r="E16" s="11" t="s">
        <v>271</v>
      </c>
      <c r="G16" s="11" t="s">
        <v>162</v>
      </c>
      <c r="H16" s="11" t="s">
        <v>251</v>
      </c>
      <c r="I16" s="11" t="s">
        <v>272</v>
      </c>
    </row>
    <row r="17" spans="1:9" x14ac:dyDescent="0.75">
      <c r="A17" s="4" t="s">
        <v>140</v>
      </c>
      <c r="B17" s="25">
        <f>SUM('Calc Manufacturing'!AL6:AL11)</f>
        <v>225505.69999999998</v>
      </c>
      <c r="C17" s="26">
        <f>IFERROR(VLOOKUP($B$3,'Calc Operations'!$A$6:$R$9,7,FALSE),0)</f>
        <v>69681047.040000007</v>
      </c>
      <c r="D17" s="25">
        <f>SUM('Calc EOL'!Q6:Q13)</f>
        <v>328.8571000000004</v>
      </c>
      <c r="E17" s="25">
        <f t="shared" ref="E17:E24" si="1">SUM(B17:D17)</f>
        <v>69906881.597100005</v>
      </c>
      <c r="G17" s="4" t="s">
        <v>82</v>
      </c>
      <c r="H17" s="26">
        <f>IFERROR(VLOOKUP(G17,'Calc Operations'!$A$6:$R$9,7,FALSE),0)</f>
        <v>69681047.040000007</v>
      </c>
      <c r="I17" s="20">
        <f>IF($H$17=0,0,H17/$H$17-1)</f>
        <v>0</v>
      </c>
    </row>
    <row r="18" spans="1:9" x14ac:dyDescent="0.75">
      <c r="A18" s="4" t="s">
        <v>141</v>
      </c>
      <c r="B18" s="25">
        <f>SUM('Calc Manufacturing'!AM6:AM11)</f>
        <v>136592.19999999998</v>
      </c>
      <c r="C18" s="26">
        <f>IFERROR(VLOOKUP($B$3,'Calc Operations'!$A$6:$R$9,8,FALSE),0)</f>
        <v>27015379.199999999</v>
      </c>
      <c r="D18" s="25">
        <f>SUM('Calc EOL'!R6:R13)</f>
        <v>-2783.4989499999992</v>
      </c>
      <c r="E18" s="25">
        <f t="shared" si="1"/>
        <v>27149187.901049998</v>
      </c>
      <c r="G18" s="4" t="s">
        <v>155</v>
      </c>
      <c r="H18" s="26">
        <f>IFERROR(VLOOKUP(G18,'Calc Operations'!$A$6:$R$9,7,FALSE),0)</f>
        <v>48348213.120000005</v>
      </c>
      <c r="I18" s="20">
        <f>IF($H$17=0,0,H18/$H$17-1)</f>
        <v>-0.30614973262032086</v>
      </c>
    </row>
    <row r="19" spans="1:9" x14ac:dyDescent="0.75">
      <c r="A19" s="4" t="s">
        <v>142</v>
      </c>
      <c r="B19" s="25">
        <f>SUM('Calc Manufacturing'!AN6:AN11)</f>
        <v>193.29850000000002</v>
      </c>
      <c r="C19" s="26">
        <f>IFERROR(VLOOKUP($B$3,'Calc Operations'!$A$6:$R$9,9,FALSE),0)</f>
        <v>68935.795200000008</v>
      </c>
      <c r="D19" s="25">
        <f>SUM('Calc EOL'!S6:S13)</f>
        <v>-2.3874804000000003</v>
      </c>
      <c r="E19" s="25">
        <f t="shared" si="1"/>
        <v>69126.706219600019</v>
      </c>
      <c r="G19" s="4" t="s">
        <v>159</v>
      </c>
      <c r="H19" s="26">
        <f>IFERROR(VLOOKUP(G19,'Calc Operations'!$A$6:$R$9,7,FALSE),0)</f>
        <v>16348962.240000002</v>
      </c>
      <c r="I19" s="20">
        <f>IF($H$17=0,0,H19/$H$17-1)</f>
        <v>-0.76537433155080214</v>
      </c>
    </row>
    <row r="20" spans="1:9" x14ac:dyDescent="0.75">
      <c r="A20" s="4" t="s">
        <v>143</v>
      </c>
      <c r="B20" s="25">
        <f>SUM('Calc Manufacturing'!AO6:AO11)</f>
        <v>271.44179999999994</v>
      </c>
      <c r="C20" s="26">
        <f>IFERROR(VLOOKUP($B$3,'Calc Operations'!$A$6:$R$9,10,FALSE),0)</f>
        <v>102472.12800000001</v>
      </c>
      <c r="D20" s="25">
        <f>SUM('Calc EOL'!T6:T13)</f>
        <v>-3.1301372000000001</v>
      </c>
      <c r="E20" s="25">
        <f t="shared" si="1"/>
        <v>102740.43966280001</v>
      </c>
      <c r="G20" s="4" t="s">
        <v>160</v>
      </c>
      <c r="H20" s="26">
        <f>IFERROR(VLOOKUP(G20,'Calc Operations'!$A$6:$R$9,7,FALSE),0)</f>
        <v>48639327.119999997</v>
      </c>
      <c r="I20" s="20">
        <f>IF($H$17=0,0,H20/$H$17-1)</f>
        <v>-0.30197192513368998</v>
      </c>
    </row>
    <row r="21" spans="1:9" x14ac:dyDescent="0.75">
      <c r="A21" s="4" t="s">
        <v>144</v>
      </c>
      <c r="B21" s="25">
        <f>SUM('Calc Manufacturing'!AP6:AP11)</f>
        <v>10.568549999999997</v>
      </c>
      <c r="C21" s="26">
        <f>IFERROR(VLOOKUP($B$3,'Calc Operations'!$A$6:$R$9,11,FALSE),0)</f>
        <v>2422.0684800000004</v>
      </c>
      <c r="D21" s="25">
        <f>SUM('Calc EOL'!U6:U13)</f>
        <v>-0.11421682499999995</v>
      </c>
      <c r="E21" s="25">
        <f t="shared" si="1"/>
        <v>2432.5228131750005</v>
      </c>
    </row>
    <row r="22" spans="1:9" x14ac:dyDescent="0.75">
      <c r="A22" s="4" t="s">
        <v>145</v>
      </c>
      <c r="B22" s="25">
        <f>SUM('Calc Manufacturing'!AQ6:AQ11)</f>
        <v>69067.69</v>
      </c>
      <c r="C22" s="26">
        <f>IFERROR(VLOOKUP($B$3,'Calc Operations'!$A$6:$R$9,12,FALSE),0)</f>
        <v>14905036.800000003</v>
      </c>
      <c r="D22" s="25">
        <f>SUM('Calc EOL'!V6:V13)</f>
        <v>-809.36254999999994</v>
      </c>
      <c r="E22" s="25">
        <f t="shared" si="1"/>
        <v>14973295.127450002</v>
      </c>
    </row>
    <row r="23" spans="1:9" x14ac:dyDescent="0.75">
      <c r="A23" s="4" t="s">
        <v>146</v>
      </c>
      <c r="B23" s="25">
        <f>SUM('Calc Manufacturing'!AR6:AR11)</f>
        <v>899.73500000000001</v>
      </c>
      <c r="C23" s="26">
        <f>IFERROR(VLOOKUP($B$3,'Calc Operations'!$A$6:$R$9,13,FALSE),0)</f>
        <v>55893.888000000006</v>
      </c>
      <c r="D23" s="25">
        <f>SUM('Calc EOL'!W6:W13)</f>
        <v>-24.332107499999999</v>
      </c>
      <c r="E23" s="25">
        <f t="shared" si="1"/>
        <v>56769.290892500008</v>
      </c>
    </row>
    <row r="24" spans="1:9" x14ac:dyDescent="0.75">
      <c r="A24" s="4" t="s">
        <v>147</v>
      </c>
      <c r="B24" s="25">
        <f>SUM('Calc Manufacturing'!AS6:AS11)</f>
        <v>43358.06</v>
      </c>
      <c r="C24" s="26">
        <f>IFERROR(VLOOKUP($B$3,'Calc Operations'!$A$6:$R$9,14,FALSE),0)</f>
        <v>0</v>
      </c>
      <c r="D24" s="25">
        <f>SUM('Calc EOL'!X6:X13)</f>
        <v>-895.12014999999997</v>
      </c>
      <c r="E24" s="25">
        <f t="shared" si="1"/>
        <v>42462.939849999995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6"/>
  <sheetViews>
    <sheetView showGridLines="0" workbookViewId="0">
      <selection activeCell="B15" sqref="B15"/>
    </sheetView>
  </sheetViews>
  <sheetFormatPr defaultRowHeight="14.75" x14ac:dyDescent="0.75"/>
  <cols>
    <col min="1" max="1" width="38" customWidth="1"/>
    <col min="2" max="2" width="18" customWidth="1"/>
    <col min="3" max="3" width="12" customWidth="1"/>
  </cols>
  <sheetData>
    <row r="1" spans="1:3" ht="18.5" x14ac:dyDescent="0.9">
      <c r="A1" s="1" t="s">
        <v>273</v>
      </c>
    </row>
    <row r="4" spans="1:3" x14ac:dyDescent="0.75">
      <c r="A4" s="11" t="s">
        <v>274</v>
      </c>
      <c r="B4" s="11" t="s">
        <v>275</v>
      </c>
      <c r="C4" s="11" t="s">
        <v>276</v>
      </c>
    </row>
    <row r="5" spans="1:3" x14ac:dyDescent="0.75">
      <c r="A5" s="4" t="s">
        <v>277</v>
      </c>
      <c r="B5" s="26">
        <f>ABS(Assemblies!F13-'Aircraft Input'!$B$7)/'Aircraft Input'!$B$7</f>
        <v>0</v>
      </c>
      <c r="C5" s="7" t="str">
        <f>IF(B5&lt;=0.01,"PASS","FAIL")</f>
        <v>PASS</v>
      </c>
    </row>
    <row r="6" spans="1:3" x14ac:dyDescent="0.75">
      <c r="A6" s="4" t="s">
        <v>278</v>
      </c>
      <c r="B6" s="26">
        <f>MAX(ABS(Materials!L6-1),ABS(Materials!L7-1),ABS(Materials!L8-1),ABS(Materials!L9-1),ABS(Materials!L10-1),ABS(Materials!L11-1))</f>
        <v>0</v>
      </c>
      <c r="C6" s="7" t="str">
        <f>IF(B6&lt;=0.0001,"PASS","FAIL")</f>
        <v>PASS</v>
      </c>
    </row>
    <row r="7" spans="1:3" x14ac:dyDescent="0.75">
      <c r="A7" s="4" t="s">
        <v>279</v>
      </c>
      <c r="B7" s="26">
        <f>MAX(ABS('Fuel Scenarios'!B14-1),ABS('Fuel Scenarios'!B15-1),ABS('Fuel Scenarios'!B16-1),ABS('Fuel Scenarios'!B17-1))</f>
        <v>0</v>
      </c>
      <c r="C7" s="7" t="str">
        <f>IF(B7&lt;=0.0001,"PASS","FAIL")</f>
        <v>PASS</v>
      </c>
    </row>
    <row r="8" spans="1:3" x14ac:dyDescent="0.75">
      <c r="A8" s="4" t="s">
        <v>280</v>
      </c>
      <c r="B8" s="26">
        <f>MAX(ABS('Calc EOL'!D6+'Calc EOL'!E6+'Calc EOL'!F6+'Calc EOL'!G6-1),ABS('Calc EOL'!D7+'Calc EOL'!E7+'Calc EOL'!F7+'Calc EOL'!G7-1),ABS('Calc EOL'!D8+'Calc EOL'!E8+'Calc EOL'!F8+'Calc EOL'!G8-1),ABS('Calc EOL'!D9+'Calc EOL'!E9+'Calc EOL'!F9+'Calc EOL'!G9-1),ABS('Calc EOL'!D10+'Calc EOL'!E10+'Calc EOL'!F10+'Calc EOL'!G10-1),ABS('Calc EOL'!D11+'Calc EOL'!E11+'Calc EOL'!F11+'Calc EOL'!G11-1),ABS('Calc EOL'!D12+'Calc EOL'!E12+'Calc EOL'!F12+'Calc EOL'!G12-1),ABS('Calc EOL'!D13+'Calc EOL'!E13+'Calc EOL'!F13+'Calc EOL'!G13-1))</f>
        <v>0</v>
      </c>
      <c r="C8" s="7" t="str">
        <f>IF(B8&lt;=0.0001,"PASS","FAIL")</f>
        <v>PASS</v>
      </c>
    </row>
    <row r="9" spans="1:3" x14ac:dyDescent="0.75">
      <c r="A9" s="4" t="s">
        <v>281</v>
      </c>
      <c r="B9" s="25">
        <f>COUNTIF(Assemblies!D6:L11,"&lt;0")</f>
        <v>0</v>
      </c>
      <c r="C9" s="7" t="str">
        <f>IF(B9=0,"PASS","FAIL")</f>
        <v>PASS</v>
      </c>
    </row>
    <row r="10" spans="1:3" x14ac:dyDescent="0.75">
      <c r="A10" s="4" t="s">
        <v>282</v>
      </c>
      <c r="B10" s="25">
        <f>COUNTBLANK(Assemblies!M6:M11)</f>
        <v>0</v>
      </c>
      <c r="C10" s="7" t="str">
        <f>IF(B10=0,"PASS","FAIL")</f>
        <v>PASS</v>
      </c>
    </row>
    <row r="11" spans="1:3" x14ac:dyDescent="0.75">
      <c r="A11" s="4" t="s">
        <v>283</v>
      </c>
      <c r="B11" s="25">
        <f>COUNTBLANK(Materials!F6:F53)</f>
        <v>0</v>
      </c>
      <c r="C11" s="7" t="str">
        <f>IF(B11=0,"PASS","FAIL")</f>
        <v>PASS</v>
      </c>
    </row>
    <row r="12" spans="1:3" x14ac:dyDescent="0.75">
      <c r="A12" s="4" t="s">
        <v>284</v>
      </c>
      <c r="B12" s="25">
        <f>COUNTIF('Calc Materials'!L6:S53,0)</f>
        <v>0</v>
      </c>
      <c r="C12" s="7" t="str">
        <f>IF(B12=0,"PASS","REVIEW")</f>
        <v>PASS</v>
      </c>
    </row>
    <row r="13" spans="1:3" x14ac:dyDescent="0.75">
      <c r="A13" s="4" t="s">
        <v>285</v>
      </c>
      <c r="B13" s="26">
        <f>IF(AND('Aircraft Input'!$B$17&lt;='Aircraft Input'!$B$18,'Aircraft Input'!$B$18&lt;='Aircraft Input'!$B$19),1,0)</f>
        <v>1</v>
      </c>
      <c r="C13" s="7" t="str">
        <f>IF(B13=1,"PASS","FAIL")</f>
        <v>PASS</v>
      </c>
    </row>
    <row r="14" spans="1:3" x14ac:dyDescent="0.75">
      <c r="A14" s="4" t="s">
        <v>286</v>
      </c>
      <c r="B14" s="26">
        <f>IF(AND('Aircraft Input'!$B$21&lt;='Aircraft Input'!$B$22,'Aircraft Input'!$B$22&lt;='Aircraft Input'!$B$23),1,0)</f>
        <v>1</v>
      </c>
      <c r="C14" s="7" t="str">
        <f>IF(B14=1,"PASS","FAIL")</f>
        <v>PASS</v>
      </c>
    </row>
    <row r="15" spans="1:3" ht="29.5" x14ac:dyDescent="0.75">
      <c r="A15" s="27" t="s">
        <v>287</v>
      </c>
      <c r="B15" s="19">
        <f>SUMPRODUCT((Assemblies!M6:M11="Measured")*Assemblies!F6:F11 + (Assemblies!M6:M11="Estimated")*Assemblies!F6:F11)/'Aircraft Input'!$B$7</f>
        <v>0.80372727272727273</v>
      </c>
      <c r="C15" s="7" t="str">
        <f>IF(B15&gt;=0.5,"PASS","REVIEW")</f>
        <v>PASS</v>
      </c>
    </row>
    <row r="16" spans="1:3" x14ac:dyDescent="0.75">
      <c r="A16" s="4" t="s">
        <v>288</v>
      </c>
      <c r="B16" s="20">
        <f>'Calc Operations'!C6/'Aircraft Input'!$B$24</f>
        <v>0.40858105263157896</v>
      </c>
      <c r="C16" s="7" t="str">
        <f>IF(B16&lt;=1.5,"PASS","REVIEW")</f>
        <v>PASS</v>
      </c>
    </row>
  </sheetData>
  <conditionalFormatting sqref="C5:C16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"REVIEW"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showGridLines="0" workbookViewId="0">
      <selection activeCell="D17" sqref="D17"/>
    </sheetView>
  </sheetViews>
  <sheetFormatPr defaultRowHeight="14.75" x14ac:dyDescent="0.75"/>
  <cols>
    <col min="1" max="1" width="24" customWidth="1"/>
    <col min="2" max="2" width="20" customWidth="1"/>
    <col min="3" max="3" width="12" customWidth="1"/>
    <col min="4" max="4" width="18" customWidth="1"/>
    <col min="5" max="5" width="16" customWidth="1"/>
    <col min="6" max="6" width="18" customWidth="1"/>
    <col min="7" max="8" width="16" customWidth="1"/>
    <col min="9" max="9" width="18" customWidth="1"/>
    <col min="10" max="10" width="50" customWidth="1"/>
  </cols>
  <sheetData>
    <row r="1" spans="1:10" ht="18.5" x14ac:dyDescent="0.9">
      <c r="A1" s="1" t="s">
        <v>289</v>
      </c>
    </row>
    <row r="5" spans="1:10" ht="29.5" x14ac:dyDescent="0.75">
      <c r="A5" s="11" t="s">
        <v>450</v>
      </c>
      <c r="B5" s="11" t="s">
        <v>36</v>
      </c>
      <c r="C5" s="11" t="s">
        <v>451</v>
      </c>
      <c r="D5" s="11" t="s">
        <v>452</v>
      </c>
      <c r="E5" s="11" t="s">
        <v>453</v>
      </c>
      <c r="F5" s="11" t="s">
        <v>454</v>
      </c>
      <c r="G5" s="11" t="s">
        <v>455</v>
      </c>
      <c r="H5" s="11" t="s">
        <v>456</v>
      </c>
      <c r="I5" s="11" t="s">
        <v>457</v>
      </c>
      <c r="J5" s="11" t="s">
        <v>10</v>
      </c>
    </row>
    <row r="6" spans="1:10" x14ac:dyDescent="0.75">
      <c r="A6" s="7" t="str">
        <f>'Aircraft Input'!$B$4</f>
        <v>Eurofighter Typhoon</v>
      </c>
      <c r="B6" s="7" t="str">
        <f>'Aircraft Input'!$B$5</f>
        <v>Tranche / generic open-source model</v>
      </c>
      <c r="C6" s="7">
        <f>'Aircraft Input'!$B$10</f>
        <v>1</v>
      </c>
      <c r="D6" s="7">
        <f>'Aircraft Input'!$B$11</f>
        <v>250</v>
      </c>
      <c r="E6" s="25">
        <f>Results!$B$9</f>
        <v>69906881.597100005</v>
      </c>
      <c r="F6" s="25">
        <f>Results!$B$12</f>
        <v>69906881.597100005</v>
      </c>
      <c r="G6" s="25">
        <f>Results!$B$13</f>
        <v>2912786.7332124999</v>
      </c>
      <c r="H6" s="25">
        <f>Checks!$B$15</f>
        <v>0.80372727272727273</v>
      </c>
      <c r="I6" s="5" t="str">
        <f>IF(Results!$B$7&gt;=Results!$B$6,IF(Results!$B$7&gt;=Results!$B$8,"Operations","End of Life"),IF(Results!$B$6&gt;=Results!$B$8,"Manufacturing","End of Life"))</f>
        <v>Operations</v>
      </c>
      <c r="J6" s="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Aircraft Input</vt:lpstr>
      <vt:lpstr>Assemblies</vt:lpstr>
      <vt:lpstr>Materials</vt:lpstr>
      <vt:lpstr>Fuel Scenarios</vt:lpstr>
      <vt:lpstr>Data Quality</vt:lpstr>
      <vt:lpstr>OpenLCA Factors</vt:lpstr>
      <vt:lpstr>Calc Materials</vt:lpstr>
      <vt:lpstr>Calc Manufacturing</vt:lpstr>
      <vt:lpstr>Calc Operations</vt:lpstr>
      <vt:lpstr>Calc EOL</vt:lpstr>
      <vt:lpstr>Sensitivity</vt:lpstr>
      <vt:lpstr>Results</vt:lpstr>
      <vt:lpstr>Checks</vt:lpstr>
      <vt:lpstr>Fleet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Teghveer Takhar</cp:lastModifiedBy>
  <dcterms:created xsi:type="dcterms:W3CDTF">2026-04-02T09:30:38Z</dcterms:created>
  <dcterms:modified xsi:type="dcterms:W3CDTF">2026-04-02T09:30:45Z</dcterms:modified>
</cp:coreProperties>
</file>